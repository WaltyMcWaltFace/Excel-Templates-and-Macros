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120" windowWidth="19155" windowHeight="11820" activeTab="1"/>
  </bookViews>
  <sheets>
    <sheet name="Applied From Access" sheetId="1" r:id="rId1"/>
    <sheet name="Remittance" sheetId="2" r:id="rId2"/>
  </sheets>
  <calcPr calcId="125725"/>
</workbook>
</file>

<file path=xl/calcChain.xml><?xml version="1.0" encoding="utf-8"?>
<calcChain xmlns="http://schemas.openxmlformats.org/spreadsheetml/2006/main">
  <c r="H3" i="2"/>
  <c r="D3"/>
  <c r="E3" s="1"/>
  <c r="F3" s="1"/>
  <c r="G3" s="1"/>
</calcChain>
</file>

<file path=xl/sharedStrings.xml><?xml version="1.0" encoding="utf-8"?>
<sst xmlns="http://schemas.openxmlformats.org/spreadsheetml/2006/main" count="21" uniqueCount="21">
  <si>
    <t>Applied from Access</t>
  </si>
  <si>
    <t>BUS_UNIT_I</t>
  </si>
  <si>
    <t>FISCAL_MM_D</t>
  </si>
  <si>
    <t>CHECK_NBR</t>
  </si>
  <si>
    <t>SumOfTOT_APPLD_A</t>
  </si>
  <si>
    <t>GL_FX_RATE</t>
  </si>
  <si>
    <t>Total applied in USD</t>
  </si>
  <si>
    <t>BATCH_NBR</t>
  </si>
  <si>
    <t>BANK_GL_ACCT</t>
  </si>
  <si>
    <t>CALENDAR_APP_D</t>
  </si>
  <si>
    <t>Remittance</t>
  </si>
  <si>
    <t>Date</t>
  </si>
  <si>
    <t>Description</t>
  </si>
  <si>
    <t>Deposit</t>
  </si>
  <si>
    <t>System Applied</t>
  </si>
  <si>
    <t>Difference</t>
  </si>
  <si>
    <t>Within Tolerance</t>
  </si>
  <si>
    <t>Tolerance % =</t>
  </si>
  <si>
    <t>Comments</t>
  </si>
  <si>
    <t>Expected Check</t>
  </si>
  <si>
    <t>Percent Diff</t>
  </si>
</sst>
</file>

<file path=xl/styles.xml><?xml version="1.0" encoding="utf-8"?>
<styleSheet xmlns="http://schemas.openxmlformats.org/spreadsheetml/2006/main">
  <numFmts count="1">
    <numFmt numFmtId="164" formatCode="0.000%"/>
  </numFmts>
  <fonts count="8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xfId="0"/>
    <xf numFmtId="0" fontId="1" fillId="2" borderId="1" xfId="1" applyFont="1" applyFill="1" applyBorder="1" applyAlignment="1">
      <alignment horizontal="center"/>
    </xf>
    <xf numFmtId="2" fontId="1" fillId="2" borderId="1" xfId="1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3" fillId="0" borderId="0" xfId="0" applyFont="1"/>
    <xf numFmtId="0" fontId="6" fillId="6" borderId="0" xfId="0" applyFont="1" applyFill="1" applyAlignment="1">
      <alignment horizontal="center"/>
    </xf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4" fontId="0" fillId="0" borderId="0" xfId="0" applyNumberFormat="1"/>
    <xf numFmtId="0" fontId="4" fillId="7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164" fontId="0" fillId="0" borderId="0" xfId="0" applyNumberFormat="1"/>
  </cellXfs>
  <cellStyles count="2">
    <cellStyle name="Normal" xfId="0" builtinId="0"/>
    <cellStyle name="Normal_Sheet1" xfId="1"/>
  </cellStyles>
  <dxfs count="13">
    <dxf>
      <numFmt numFmtId="164" formatCode="0.000%"/>
    </dxf>
    <dxf>
      <numFmt numFmtId="0" formatCode="General"/>
    </dxf>
    <dxf>
      <numFmt numFmtId="0" formatCode="General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relativeIndent="0" justifyLastLine="0" shrinkToFit="0" mergeCell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numFmt numFmtId="19" formatCode="m/d/yyyy"/>
    </dxf>
    <dxf>
      <border outline="0">
        <top style="medium">
          <color indexed="64"/>
        </top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AppliedQSM" displayName="AppliedQSM" ref="A2:I3" insertRow="1" totalsRowShown="0" headerRowDxfId="11" headerRowBorderDxfId="10" tableBorderDxfId="9" headerRowCellStyle="Normal_Sheet1">
  <autoFilter ref="A2:I3"/>
  <tableColumns count="9">
    <tableColumn id="1" name="BUS_UNIT_I"/>
    <tableColumn id="2" name="FISCAL_MM_D"/>
    <tableColumn id="3" name="CHECK_NBR"/>
    <tableColumn id="4" name="SumOfTOT_APPLD_A"/>
    <tableColumn id="5" name="GL_FX_RATE"/>
    <tableColumn id="6" name="Total applied in USD"/>
    <tableColumn id="7" name="BATCH_NBR"/>
    <tableColumn id="8" name="BANK_GL_ACCT"/>
    <tableColumn id="9" name="CALENDAR_APP_D" dataDxfId="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Remit" displayName="Remit" ref="A2:I3" totalsRowShown="0" headerRowDxfId="4">
  <autoFilter ref="A2:I3">
    <filterColumn colId="8"/>
  </autoFilter>
  <tableColumns count="9">
    <tableColumn id="1" name="Date" dataDxfId="3"/>
    <tableColumn id="2" name="Description"/>
    <tableColumn id="3" name="Deposit"/>
    <tableColumn id="4" name="Expected Check">
      <calculatedColumnFormula>IF(ISBLANK([Deposit]),"","TB"&amp;FLOOR([Deposit],1))</calculatedColumnFormula>
    </tableColumn>
    <tableColumn id="5" name="System Applied" dataDxfId="2">
      <calculatedColumnFormula>IF(ISBLANK([Deposit]),"",ROUND(VLOOKUP([Expected Check],AppliedQSM[[CHECK_NBR]:[Total applied in USD]],4,FALSE),2))</calculatedColumnFormula>
    </tableColumn>
    <tableColumn id="6" name="Difference" dataDxfId="1">
      <calculatedColumnFormula>IF(ISBLANK([Deposit]),"",Remit[[#This Row],[Deposit]]-[System Applied])</calculatedColumnFormula>
    </tableColumn>
    <tableColumn id="7" name="Percent Diff" dataDxfId="0">
      <calculatedColumnFormula>IF(ISBLANK([Deposit]),"",[Difference]/[Deposit])</calculatedColumnFormula>
    </tableColumn>
    <tableColumn id="8" name="Within Tolerance">
      <calculatedColumnFormula>IF(COUNTIF([Expected Check],Remit[[#This Row],[Expected Check]])&gt;1,"PLEASE CHECK",IF(ISBLANK([Deposit]),"",AND(ABS([Percent Diff])&lt;$H$1*0.01,ABS(Remit[[#This Row],[Difference]])&lt;=1)))</calculatedColumnFormula>
    </tableColumn>
    <tableColumn id="9" name="Comm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I3"/>
  <sheetViews>
    <sheetView workbookViewId="0">
      <selection activeCell="H7" sqref="H7"/>
    </sheetView>
  </sheetViews>
  <sheetFormatPr defaultColWidth="0" defaultRowHeight="15"/>
  <cols>
    <col min="1" max="1" width="13.42578125" customWidth="1"/>
    <col min="2" max="2" width="15.7109375" customWidth="1"/>
    <col min="3" max="3" width="13.5703125" customWidth="1"/>
    <col min="4" max="4" width="21.5703125" customWidth="1"/>
    <col min="5" max="5" width="13.85546875" customWidth="1"/>
    <col min="6" max="6" width="20.85546875" customWidth="1"/>
    <col min="7" max="7" width="13.7109375" customWidth="1"/>
    <col min="8" max="8" width="16.85546875" customWidth="1"/>
    <col min="9" max="9" width="19.42578125" customWidth="1"/>
    <col min="10" max="16384" width="9.140625" hidden="1"/>
  </cols>
  <sheetData>
    <row r="1" spans="1:9" ht="31.5">
      <c r="A1" s="15" t="s">
        <v>0</v>
      </c>
      <c r="B1" s="16"/>
      <c r="C1" s="16"/>
      <c r="D1" s="16"/>
      <c r="E1" s="16"/>
      <c r="F1" s="16"/>
      <c r="G1" s="16"/>
      <c r="H1" s="16"/>
      <c r="I1" s="17"/>
    </row>
    <row r="2" spans="1:9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2" t="s">
        <v>6</v>
      </c>
      <c r="G2" s="1" t="s">
        <v>7</v>
      </c>
      <c r="H2" s="1" t="s">
        <v>8</v>
      </c>
      <c r="I2" s="1" t="s">
        <v>9</v>
      </c>
    </row>
    <row r="3" spans="1:9">
      <c r="A3" s="9"/>
      <c r="B3" s="9"/>
      <c r="C3" s="9"/>
      <c r="D3" s="9"/>
      <c r="E3" s="9"/>
      <c r="F3" s="9"/>
      <c r="G3" s="9"/>
      <c r="H3" s="9"/>
      <c r="I3" s="11"/>
    </row>
  </sheetData>
  <mergeCells count="1">
    <mergeCell ref="A1:I1"/>
  </mergeCells>
  <conditionalFormatting sqref="C3">
    <cfRule type="duplicateValues" dxfId="12" priority="2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:I3"/>
  <sheetViews>
    <sheetView tabSelected="1" workbookViewId="0">
      <selection activeCell="A3" sqref="A3"/>
    </sheetView>
  </sheetViews>
  <sheetFormatPr defaultColWidth="0" defaultRowHeight="15"/>
  <cols>
    <col min="1" max="1" width="10.7109375" customWidth="1"/>
    <col min="2" max="2" width="15.42578125" bestFit="1" customWidth="1"/>
    <col min="3" max="3" width="23.7109375" customWidth="1"/>
    <col min="4" max="5" width="20.85546875" bestFit="1" customWidth="1"/>
    <col min="6" max="6" width="15.5703125" bestFit="1" customWidth="1"/>
    <col min="7" max="7" width="18.42578125" bestFit="1" customWidth="1"/>
    <col min="8" max="8" width="18.140625" bestFit="1" customWidth="1"/>
    <col min="9" max="9" width="39.7109375" customWidth="1"/>
    <col min="10" max="16384" width="9.140625" hidden="1"/>
  </cols>
  <sheetData>
    <row r="1" spans="1:9" ht="31.5">
      <c r="A1" s="18" t="s">
        <v>10</v>
      </c>
      <c r="B1" s="18"/>
      <c r="C1" s="18"/>
      <c r="D1" s="18"/>
      <c r="E1" s="18"/>
      <c r="F1" s="18"/>
      <c r="G1" s="14" t="s">
        <v>17</v>
      </c>
      <c r="H1" s="12">
        <v>7.0000000000000001E-3</v>
      </c>
    </row>
    <row r="2" spans="1:9" s="4" customFormat="1" ht="15.75">
      <c r="A2" s="3" t="s">
        <v>11</v>
      </c>
      <c r="B2" s="3" t="s">
        <v>12</v>
      </c>
      <c r="C2" s="3" t="s">
        <v>13</v>
      </c>
      <c r="D2" s="5" t="s">
        <v>19</v>
      </c>
      <c r="E2" s="5" t="s">
        <v>14</v>
      </c>
      <c r="F2" s="5" t="s">
        <v>15</v>
      </c>
      <c r="G2" s="5" t="s">
        <v>20</v>
      </c>
      <c r="H2" s="5" t="s">
        <v>16</v>
      </c>
      <c r="I2" s="13" t="s">
        <v>18</v>
      </c>
    </row>
    <row r="3" spans="1:9">
      <c r="A3" s="11"/>
      <c r="B3" s="10"/>
      <c r="C3" s="10"/>
      <c r="D3" s="8" t="str">
        <f>IF(ISBLANK([Deposit]),"","TB"&amp;FLOOR([Deposit],1))</f>
        <v/>
      </c>
      <c r="E3" s="7" t="str">
        <f>IF(ISBLANK([Deposit]),"",ROUND(VLOOKUP([Expected Check],AppliedQSM[[CHECK_NBR]:[Total applied in USD]],4,FALSE),2))</f>
        <v/>
      </c>
      <c r="F3" s="7" t="str">
        <f>IF(ISBLANK([Deposit]),"",Remit[[#This Row],[Deposit]]-[System Applied])</f>
        <v/>
      </c>
      <c r="G3" s="19" t="str">
        <f>IF(ISBLANK([Deposit]),"",[Difference]/[Deposit])</f>
        <v/>
      </c>
      <c r="H3" s="6" t="str">
        <f>IF(COUNTIF([Expected Check],Remit[[#This Row],[Expected Check]])&gt;1,"PLEASE CHECK",IF(ISBLANK([Deposit]),"",AND(ABS([Percent Diff])&lt;$H$1*0.01,ABS(Remit[[#This Row],[Difference]])&lt;=1)))</f>
        <v/>
      </c>
    </row>
  </sheetData>
  <mergeCells count="1">
    <mergeCell ref="A1:F1"/>
  </mergeCells>
  <conditionalFormatting sqref="G3:H3">
    <cfRule type="expression" dxfId="7" priority="2">
      <formula>IF(ISBLANK($C3),"",NOT(AND(ABS($G3)&lt;$H$1*0.01,ABS($F3)&lt;=1)))</formula>
    </cfRule>
  </conditionalFormatting>
  <conditionalFormatting sqref="D3">
    <cfRule type="duplicateValues" dxfId="6" priority="4"/>
  </conditionalFormatting>
  <conditionalFormatting sqref="H3">
    <cfRule type="containsText" dxfId="5" priority="1" operator="containsText" text="PLEASE CHECK">
      <formula>NOT(ISERROR(SEARCH("PLEASE CHECK",H3)))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Applied From Access</vt:lpstr>
      <vt:lpstr>Remittance</vt:lpstr>
    </vt:vector>
  </TitlesOfParts>
  <Company>Corporate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t10100e</dc:creator>
  <cp:lastModifiedBy>t10100e</cp:lastModifiedBy>
  <dcterms:created xsi:type="dcterms:W3CDTF">2014-06-27T14:52:06Z</dcterms:created>
  <dcterms:modified xsi:type="dcterms:W3CDTF">2014-06-27T16:26:56Z</dcterms:modified>
</cp:coreProperties>
</file>