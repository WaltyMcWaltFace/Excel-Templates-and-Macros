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showInkAnnotation="0" codeName="ThisWorkbook"/>
  <bookViews>
    <workbookView xWindow="11070" yWindow="15" windowWidth="10530" windowHeight="10170" tabRatio="773" activeTab="3"/>
  </bookViews>
  <sheets>
    <sheet name="Unapplied" sheetId="1" r:id="rId1"/>
    <sheet name="1250-1500" sheetId="344" r:id="rId2"/>
    <sheet name="Wrong LBX" sheetId="39683" r:id="rId3"/>
    <sheet name="Accounting" sheetId="39682" r:id="rId4"/>
    <sheet name="Wrong Bank Account" sheetId="31776" r:id="rId5"/>
    <sheet name="ACH Not Applied" sheetId="80" r:id="rId6"/>
  </sheets>
  <definedNames>
    <definedName name="_xlnm._FilterDatabase" localSheetId="0" hidden="1">Unapplied!$A$1:$L$4</definedName>
    <definedName name="meow">'1250-1500'!$A$3:$D$27</definedName>
    <definedName name="_xlnm.Print_Area" localSheetId="0">Unapplied!$A$1:$M$38</definedName>
    <definedName name="Z_53B332ED_AAD8_4519_A3DC_AD9E833CAAC9_.wvu.PrintArea" localSheetId="0" hidden="1">Unapplied!$A$1:$M$38</definedName>
    <definedName name="Z_53B332ED_AAD8_4519_A3DC_AD9E833CAAC9_.wvu.Rows" localSheetId="0" hidden="1">Unapplied!#REF!</definedName>
  </definedNames>
  <calcPr calcId="125725"/>
  <customWorkbookViews>
    <customWorkbookView name="Anixter Inc. - Personal View" guid="{53B332ED-AAD8-4519-A3DC-AD9E833CAAC9}" mergeInterval="0" personalView="1" maximized="1" windowWidth="1020" windowHeight="597" activeSheetId="1"/>
  </customWorkbookViews>
</workbook>
</file>

<file path=xl/calcChain.xml><?xml version="1.0" encoding="utf-8"?>
<calcChain xmlns="http://schemas.openxmlformats.org/spreadsheetml/2006/main">
  <c r="A11" i="39682"/>
  <c r="A24" i="344"/>
  <c r="C24" s="1"/>
  <c r="E24" s="1"/>
  <c r="A25"/>
  <c r="C25" s="1"/>
  <c r="E25" s="1"/>
  <c r="A26"/>
  <c r="C26" s="1"/>
  <c r="E26" s="1"/>
  <c r="A27"/>
  <c r="C27" s="1"/>
  <c r="E27" s="1"/>
  <c r="A23"/>
  <c r="C23" s="1"/>
  <c r="E23" s="1"/>
  <c r="N27" i="1"/>
  <c r="N19"/>
  <c r="J36"/>
  <c r="H36"/>
  <c r="M1"/>
  <c r="B70" i="39682" l="1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0"/>
  <c r="A9"/>
  <c r="A85"/>
  <c r="F39" i="1"/>
  <c r="A39"/>
  <c r="B41" i="39682" l="1"/>
  <c r="A41"/>
  <c r="A71" l="1"/>
  <c r="A8"/>
  <c r="E22" i="344"/>
  <c r="C22"/>
  <c r="A22"/>
  <c r="E21" s="1"/>
  <c r="C21"/>
  <c r="A21"/>
  <c r="E20" s="1"/>
  <c r="C20"/>
  <c r="A20"/>
  <c r="C19"/>
  <c r="E19" s="1"/>
  <c r="A19"/>
  <c r="C18"/>
  <c r="E18" s="1"/>
  <c r="A18"/>
  <c r="C17"/>
  <c r="E17" s="1"/>
  <c r="A17"/>
  <c r="E16"/>
  <c r="C16"/>
  <c r="A16"/>
  <c r="C15"/>
  <c r="E15" s="1"/>
  <c r="A15"/>
  <c r="C14"/>
  <c r="E14" s="1"/>
  <c r="A14"/>
  <c r="C13"/>
  <c r="E13" s="1"/>
  <c r="A13"/>
  <c r="E12"/>
  <c r="C12"/>
  <c r="A12"/>
  <c r="C11"/>
  <c r="E11" s="1"/>
  <c r="A11"/>
  <c r="C10"/>
  <c r="E10" s="1"/>
  <c r="A10"/>
  <c r="C9"/>
  <c r="E9" s="1"/>
  <c r="A9"/>
  <c r="E8"/>
  <c r="C8"/>
  <c r="A8"/>
  <c r="C7"/>
  <c r="E7" s="1"/>
  <c r="A7"/>
  <c r="C6"/>
  <c r="E6" s="1"/>
  <c r="A6"/>
  <c r="C5"/>
  <c r="A5"/>
  <c r="C4"/>
  <c r="A4"/>
  <c r="C3"/>
  <c r="A3"/>
  <c r="A38" i="39682" l="1"/>
  <c r="A72" s="1"/>
  <c r="E3" i="344"/>
  <c r="E4"/>
  <c r="E5"/>
  <c r="L11" i="1" l="1"/>
  <c r="K11"/>
  <c r="J11"/>
  <c r="I11"/>
  <c r="H11"/>
  <c r="G11"/>
  <c r="F11"/>
  <c r="E11"/>
  <c r="D11"/>
  <c r="B11"/>
  <c r="A6" l="1"/>
  <c r="M6" s="1"/>
  <c r="N6" s="1"/>
  <c r="A7" l="1"/>
  <c r="A8" l="1"/>
  <c r="A9" l="1"/>
  <c r="A10" l="1"/>
  <c r="A12" l="1"/>
  <c r="A13" s="1"/>
  <c r="A14" s="1"/>
  <c r="C11"/>
  <c r="A15" l="1"/>
  <c r="A16" s="1"/>
  <c r="A18" s="1"/>
  <c r="A19" s="1"/>
  <c r="A20" s="1"/>
  <c r="A21" s="1"/>
  <c r="A22" s="1"/>
  <c r="A24" s="1"/>
  <c r="A25" s="1"/>
  <c r="A26" s="1"/>
  <c r="A27" s="1"/>
  <c r="A28" s="1"/>
  <c r="A30" s="1"/>
  <c r="A31" l="1"/>
  <c r="B30"/>
  <c r="M30" s="1"/>
  <c r="B7"/>
  <c r="M7" s="1"/>
  <c r="J17"/>
  <c r="J23" s="1"/>
  <c r="J29" s="1"/>
  <c r="J35" s="1"/>
  <c r="J37" s="1"/>
  <c r="L17"/>
  <c r="L23" s="1"/>
  <c r="L29" s="1"/>
  <c r="L35" s="1"/>
  <c r="L37" s="1"/>
  <c r="K17"/>
  <c r="I17"/>
  <c r="I23" s="1"/>
  <c r="I29" s="1"/>
  <c r="I35" s="1"/>
  <c r="I37" s="1"/>
  <c r="H17"/>
  <c r="H23" s="1"/>
  <c r="H29" s="1"/>
  <c r="H35" s="1"/>
  <c r="H37" s="1"/>
  <c r="G17"/>
  <c r="F17"/>
  <c r="F23" s="1"/>
  <c r="F29" s="1"/>
  <c r="F35" s="1"/>
  <c r="F37" s="1"/>
  <c r="E17"/>
  <c r="E23" s="1"/>
  <c r="E29" s="1"/>
  <c r="E35" s="1"/>
  <c r="E37" s="1"/>
  <c r="D17"/>
  <c r="D23" s="1"/>
  <c r="D29" s="1"/>
  <c r="D35" s="1"/>
  <c r="D37" s="1"/>
  <c r="C17"/>
  <c r="C23" s="1"/>
  <c r="C29" s="1"/>
  <c r="C35" s="1"/>
  <c r="C37" s="1"/>
  <c r="K23"/>
  <c r="G23"/>
  <c r="G29" s="1"/>
  <c r="G35" s="1"/>
  <c r="G37" s="1"/>
  <c r="K29"/>
  <c r="K35" s="1"/>
  <c r="K37" s="1"/>
  <c r="A32" l="1"/>
  <c r="B31"/>
  <c r="B8"/>
  <c r="M8" s="1"/>
  <c r="B9" s="1"/>
  <c r="M9" s="1"/>
  <c r="B10" s="1"/>
  <c r="N7"/>
  <c r="A33" l="1"/>
  <c r="N8"/>
  <c r="M10"/>
  <c r="M11" s="1"/>
  <c r="N9"/>
  <c r="A34" l="1"/>
  <c r="N10"/>
  <c r="N11"/>
  <c r="O11" s="1"/>
  <c r="B12"/>
  <c r="B17"/>
  <c r="M12" l="1"/>
  <c r="B13" s="1"/>
  <c r="N12" l="1"/>
  <c r="M13"/>
  <c r="B14" s="1"/>
  <c r="N13" l="1"/>
  <c r="M14"/>
  <c r="B15" s="1"/>
  <c r="N14" l="1"/>
  <c r="M15"/>
  <c r="B16" s="1"/>
  <c r="N15" l="1"/>
  <c r="M16"/>
  <c r="M17" s="1"/>
  <c r="N16" l="1"/>
  <c r="B18"/>
  <c r="B23"/>
  <c r="N17"/>
  <c r="O17" s="1"/>
  <c r="M18" l="1"/>
  <c r="B19" s="1"/>
  <c r="N18" l="1"/>
  <c r="M19"/>
  <c r="B20" s="1"/>
  <c r="M20" l="1"/>
  <c r="B21" s="1"/>
  <c r="N20" l="1"/>
  <c r="M21"/>
  <c r="B22" s="1"/>
  <c r="M22" l="1"/>
  <c r="M23" s="1"/>
  <c r="N21"/>
  <c r="N22" l="1"/>
  <c r="B24"/>
  <c r="B29"/>
  <c r="N23"/>
  <c r="O23" s="1"/>
  <c r="M24" l="1"/>
  <c r="B25" s="1"/>
  <c r="N24" l="1"/>
  <c r="M25"/>
  <c r="B26" s="1"/>
  <c r="N25" l="1"/>
  <c r="M26"/>
  <c r="B27" s="1"/>
  <c r="M27" l="1"/>
  <c r="B28" s="1"/>
  <c r="N26"/>
  <c r="M28" l="1"/>
  <c r="M29" s="1"/>
  <c r="N28" l="1"/>
  <c r="B35"/>
  <c r="N29"/>
  <c r="O29" s="1"/>
  <c r="M31" l="1"/>
  <c r="B32" s="1"/>
  <c r="N30"/>
  <c r="N31" l="1"/>
  <c r="M32"/>
  <c r="B33" s="1"/>
  <c r="M33" l="1"/>
  <c r="N32"/>
  <c r="N33" l="1"/>
  <c r="B34"/>
  <c r="M34" s="1"/>
  <c r="M35" s="1"/>
  <c r="N34" l="1"/>
  <c r="B36"/>
  <c r="M36" s="1"/>
  <c r="N35"/>
  <c r="O35" s="1"/>
  <c r="B37" l="1"/>
  <c r="M37"/>
  <c r="N37" l="1"/>
  <c r="O37" s="1"/>
</calcChain>
</file>

<file path=xl/comments1.xml><?xml version="1.0" encoding="utf-8"?>
<comments xmlns="http://schemas.openxmlformats.org/spreadsheetml/2006/main">
  <authors>
    <author>t10100e</author>
  </authors>
  <commentList>
    <comment ref="C3" authorId="0">
      <text>
        <r>
          <rPr>
            <sz val="9"/>
            <color indexed="81"/>
            <rFont val="Tahoma"/>
            <family val="2"/>
          </rPr>
          <t>In this column, you put total of wires and ACH.</t>
        </r>
      </text>
    </comment>
    <comment ref="J36" authorId="0">
      <text>
        <r>
          <rPr>
            <sz val="9"/>
            <color indexed="81"/>
            <rFont val="Tahoma"/>
            <family val="2"/>
          </rPr>
          <t>This is Previous Outstanding ACH Plus the amount entered in Cell O1, which should be Current Outstanding ACH.</t>
        </r>
      </text>
    </comment>
  </commentList>
</comments>
</file>

<file path=xl/comments2.xml><?xml version="1.0" encoding="utf-8"?>
<comments xmlns="http://schemas.openxmlformats.org/spreadsheetml/2006/main">
  <authors>
    <author>t10100e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Anixter Inc.:</t>
        </r>
        <r>
          <rPr>
            <sz val="9"/>
            <color indexed="81"/>
            <rFont val="Tahoma"/>
            <family val="2"/>
          </rPr>
          <t xml:space="preserve">
You take sum batch totals from ce1250 report. Report will always be dated one day ahead so (example) 04/03 would be 04/02. This report is what cash batches were created.
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petlu02:
</t>
        </r>
        <r>
          <rPr>
            <sz val="9"/>
            <color indexed="81"/>
            <rFont val="Tahoma"/>
            <family val="2"/>
          </rPr>
          <t>This report is what was actually applied the previous day.</t>
        </r>
      </text>
    </comment>
  </commentList>
</comments>
</file>

<file path=xl/sharedStrings.xml><?xml version="1.0" encoding="utf-8"?>
<sst xmlns="http://schemas.openxmlformats.org/spreadsheetml/2006/main" count="93" uniqueCount="64">
  <si>
    <t>Date</t>
  </si>
  <si>
    <t>SUB</t>
  </si>
  <si>
    <t>Beginning Balance</t>
  </si>
  <si>
    <t>Depository</t>
  </si>
  <si>
    <t>Wire Xpress</t>
  </si>
  <si>
    <t>ONP Distribution</t>
  </si>
  <si>
    <t>Foreign Locations</t>
  </si>
  <si>
    <t>Cash Applications</t>
  </si>
  <si>
    <t>DEPOSITS - DALLAS</t>
  </si>
  <si>
    <t>MISCELLANEOUS</t>
  </si>
  <si>
    <t>CREDIT CARDS</t>
  </si>
  <si>
    <t>DEPOSIT</t>
  </si>
  <si>
    <t>Keyed in from the 1500 Report</t>
  </si>
  <si>
    <t>Run Date</t>
  </si>
  <si>
    <t>Dollar Amt</t>
  </si>
  <si>
    <t>Banked</t>
  </si>
  <si>
    <t>CHICAGO</t>
  </si>
  <si>
    <t xml:space="preserve"> </t>
  </si>
  <si>
    <t>cor dis</t>
  </si>
  <si>
    <t>wxp</t>
  </si>
  <si>
    <t>tra</t>
  </si>
  <si>
    <t>Daily balance</t>
  </si>
  <si>
    <t>Weekly balance</t>
  </si>
  <si>
    <t>Balancing</t>
  </si>
  <si>
    <t>Non-ARC</t>
  </si>
  <si>
    <t>Checks</t>
  </si>
  <si>
    <t>EFTs</t>
  </si>
  <si>
    <t>Chicago</t>
  </si>
  <si>
    <t>Dollar Amount</t>
  </si>
  <si>
    <t>Grand total for Chicago Outstanding</t>
  </si>
  <si>
    <t>Dallas</t>
  </si>
  <si>
    <t>Misc</t>
  </si>
  <si>
    <t>Total ACH</t>
  </si>
  <si>
    <t>Bounces/NSF</t>
  </si>
  <si>
    <t>Amount</t>
  </si>
  <si>
    <t>Wrong LBX</t>
  </si>
  <si>
    <t>Wrong Bank Account</t>
  </si>
  <si>
    <t>Bank Account Applied To</t>
  </si>
  <si>
    <t>Proper Bank Account</t>
  </si>
  <si>
    <t>Type</t>
  </si>
  <si>
    <t>Month to Add</t>
  </si>
  <si>
    <t>Month to Subtract</t>
  </si>
  <si>
    <t>Outstanding Credit Cards</t>
  </si>
  <si>
    <t>Description</t>
  </si>
  <si>
    <t>Details</t>
  </si>
  <si>
    <t>MTD Applied-Deposit Cash</t>
  </si>
  <si>
    <t>First Monday:</t>
  </si>
  <si>
    <t># of Weeks:</t>
  </si>
  <si>
    <t>Prepared By:</t>
  </si>
  <si>
    <t>Date Prepared:</t>
  </si>
  <si>
    <t>Reviewd By:</t>
  </si>
  <si>
    <t>Date Reviewed:</t>
  </si>
  <si>
    <t>Total Credit Cards</t>
  </si>
  <si>
    <t>Credit Cards</t>
  </si>
  <si>
    <t>ACH</t>
  </si>
  <si>
    <t>Wirexpress</t>
  </si>
  <si>
    <t>Cash Account #</t>
  </si>
  <si>
    <t>Batch #</t>
  </si>
  <si>
    <t>Subtotal by Account #</t>
  </si>
  <si>
    <t>Weekly Total</t>
  </si>
  <si>
    <t>1250-1500</t>
  </si>
  <si>
    <t>Date reflected is a day behind.</t>
  </si>
  <si>
    <t>Grand Total for Dallas Outstanding</t>
  </si>
  <si>
    <t>Current Outstanding ACH (Month)</t>
  </si>
</sst>
</file>

<file path=xl/styles.xml><?xml version="1.0" encoding="utf-8"?>
<styleSheet xmlns="http://schemas.openxmlformats.org/spreadsheetml/2006/main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"/>
    <numFmt numFmtId="165" formatCode="mmmm\ d\,\ yyyy"/>
    <numFmt numFmtId="166" formatCode="0.00_);[Red]\(0.00\)"/>
  </numFmts>
  <fonts count="67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8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8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sz val="12"/>
      <color theme="0"/>
      <name val="Arial"/>
      <family val="2"/>
    </font>
    <font>
      <b/>
      <sz val="12"/>
      <name val="Arial"/>
      <family val="2"/>
    </font>
    <font>
      <sz val="11"/>
      <color theme="0"/>
      <name val="Arial"/>
      <family val="2"/>
    </font>
    <font>
      <sz val="16"/>
      <color theme="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26"/>
      <color theme="0"/>
      <name val="Arial"/>
      <family val="2"/>
    </font>
    <font>
      <b/>
      <sz val="16"/>
      <name val="Arial"/>
      <family val="2"/>
    </font>
    <font>
      <b/>
      <sz val="12"/>
      <color theme="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4"/>
      <color theme="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9B8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25">
    <xf numFmtId="0" fontId="0" fillId="0" borderId="0"/>
    <xf numFmtId="0" fontId="9" fillId="2" borderId="0" applyNumberFormat="0" applyBorder="0" applyAlignment="0" applyProtection="0"/>
    <xf numFmtId="0" fontId="29" fillId="24" borderId="0" applyNumberFormat="0" applyBorder="0" applyAlignment="0" applyProtection="0"/>
    <xf numFmtId="0" fontId="9" fillId="3" borderId="0" applyNumberFormat="0" applyBorder="0" applyAlignment="0" applyProtection="0"/>
    <xf numFmtId="0" fontId="29" fillId="25" borderId="0" applyNumberFormat="0" applyBorder="0" applyAlignment="0" applyProtection="0"/>
    <xf numFmtId="0" fontId="9" fillId="5" borderId="0" applyNumberFormat="0" applyBorder="0" applyAlignment="0" applyProtection="0"/>
    <xf numFmtId="0" fontId="29" fillId="26" borderId="0" applyNumberFormat="0" applyBorder="0" applyAlignment="0" applyProtection="0"/>
    <xf numFmtId="0" fontId="9" fillId="7" borderId="0" applyNumberFormat="0" applyBorder="0" applyAlignment="0" applyProtection="0"/>
    <xf numFmtId="0" fontId="29" fillId="27" borderId="0" applyNumberFormat="0" applyBorder="0" applyAlignment="0" applyProtection="0"/>
    <xf numFmtId="0" fontId="9" fillId="8" borderId="0" applyNumberFormat="0" applyBorder="0" applyAlignment="0" applyProtection="0"/>
    <xf numFmtId="0" fontId="29" fillId="28" borderId="0" applyNumberFormat="0" applyBorder="0" applyAlignment="0" applyProtection="0"/>
    <xf numFmtId="0" fontId="9" fillId="4" borderId="0" applyNumberFormat="0" applyBorder="0" applyAlignment="0" applyProtection="0"/>
    <xf numFmtId="0" fontId="29" fillId="29" borderId="0" applyNumberFormat="0" applyBorder="0" applyAlignment="0" applyProtection="0"/>
    <xf numFmtId="0" fontId="9" fillId="9" borderId="0" applyNumberFormat="0" applyBorder="0" applyAlignment="0" applyProtection="0"/>
    <xf numFmtId="0" fontId="29" fillId="30" borderId="0" applyNumberFormat="0" applyBorder="0" applyAlignment="0" applyProtection="0"/>
    <xf numFmtId="0" fontId="9" fillId="10" borderId="0" applyNumberFormat="0" applyBorder="0" applyAlignment="0" applyProtection="0"/>
    <xf numFmtId="0" fontId="29" fillId="31" borderId="0" applyNumberFormat="0" applyBorder="0" applyAlignment="0" applyProtection="0"/>
    <xf numFmtId="0" fontId="9" fillId="11" borderId="0" applyNumberFormat="0" applyBorder="0" applyAlignment="0" applyProtection="0"/>
    <xf numFmtId="0" fontId="29" fillId="32" borderId="0" applyNumberFormat="0" applyBorder="0" applyAlignment="0" applyProtection="0"/>
    <xf numFmtId="0" fontId="9" fillId="7" borderId="0" applyNumberFormat="0" applyBorder="0" applyAlignment="0" applyProtection="0"/>
    <xf numFmtId="0" fontId="29" fillId="33" borderId="0" applyNumberFormat="0" applyBorder="0" applyAlignment="0" applyProtection="0"/>
    <xf numFmtId="0" fontId="9" fillId="9" borderId="0" applyNumberFormat="0" applyBorder="0" applyAlignment="0" applyProtection="0"/>
    <xf numFmtId="0" fontId="29" fillId="34" borderId="0" applyNumberFormat="0" applyBorder="0" applyAlignment="0" applyProtection="0"/>
    <xf numFmtId="0" fontId="9" fillId="14" borderId="0" applyNumberFormat="0" applyBorder="0" applyAlignment="0" applyProtection="0"/>
    <xf numFmtId="0" fontId="29" fillId="35" borderId="0" applyNumberFormat="0" applyBorder="0" applyAlignment="0" applyProtection="0"/>
    <xf numFmtId="0" fontId="10" fillId="15" borderId="0" applyNumberFormat="0" applyBorder="0" applyAlignment="0" applyProtection="0"/>
    <xf numFmtId="0" fontId="30" fillId="36" borderId="0" applyNumberFormat="0" applyBorder="0" applyAlignment="0" applyProtection="0"/>
    <xf numFmtId="0" fontId="10" fillId="10" borderId="0" applyNumberFormat="0" applyBorder="0" applyAlignment="0" applyProtection="0"/>
    <xf numFmtId="0" fontId="30" fillId="37" borderId="0" applyNumberFormat="0" applyBorder="0" applyAlignment="0" applyProtection="0"/>
    <xf numFmtId="0" fontId="10" fillId="11" borderId="0" applyNumberFormat="0" applyBorder="0" applyAlignment="0" applyProtection="0"/>
    <xf numFmtId="0" fontId="30" fillId="38" borderId="0" applyNumberFormat="0" applyBorder="0" applyAlignment="0" applyProtection="0"/>
    <xf numFmtId="0" fontId="10" fillId="16" borderId="0" applyNumberFormat="0" applyBorder="0" applyAlignment="0" applyProtection="0"/>
    <xf numFmtId="0" fontId="30" fillId="39" borderId="0" applyNumberFormat="0" applyBorder="0" applyAlignment="0" applyProtection="0"/>
    <xf numFmtId="0" fontId="10" fillId="17" borderId="0" applyNumberFormat="0" applyBorder="0" applyAlignment="0" applyProtection="0"/>
    <xf numFmtId="0" fontId="30" fillId="40" borderId="0" applyNumberFormat="0" applyBorder="0" applyAlignment="0" applyProtection="0"/>
    <xf numFmtId="0" fontId="10" fillId="18" borderId="0" applyNumberFormat="0" applyBorder="0" applyAlignment="0" applyProtection="0"/>
    <xf numFmtId="0" fontId="30" fillId="41" borderId="0" applyNumberFormat="0" applyBorder="0" applyAlignment="0" applyProtection="0"/>
    <xf numFmtId="0" fontId="10" fillId="19" borderId="0" applyNumberFormat="0" applyBorder="0" applyAlignment="0" applyProtection="0"/>
    <xf numFmtId="0" fontId="30" fillId="42" borderId="0" applyNumberFormat="0" applyBorder="0" applyAlignment="0" applyProtection="0"/>
    <xf numFmtId="0" fontId="10" fillId="20" borderId="0" applyNumberFormat="0" applyBorder="0" applyAlignment="0" applyProtection="0"/>
    <xf numFmtId="0" fontId="30" fillId="43" borderId="0" applyNumberFormat="0" applyBorder="0" applyAlignment="0" applyProtection="0"/>
    <xf numFmtId="0" fontId="10" fillId="21" borderId="0" applyNumberFormat="0" applyBorder="0" applyAlignment="0" applyProtection="0"/>
    <xf numFmtId="0" fontId="30" fillId="44" borderId="0" applyNumberFormat="0" applyBorder="0" applyAlignment="0" applyProtection="0"/>
    <xf numFmtId="0" fontId="10" fillId="16" borderId="0" applyNumberFormat="0" applyBorder="0" applyAlignment="0" applyProtection="0"/>
    <xf numFmtId="0" fontId="30" fillId="45" borderId="0" applyNumberFormat="0" applyBorder="0" applyAlignment="0" applyProtection="0"/>
    <xf numFmtId="0" fontId="10" fillId="17" borderId="0" applyNumberFormat="0" applyBorder="0" applyAlignment="0" applyProtection="0"/>
    <xf numFmtId="0" fontId="30" fillId="46" borderId="0" applyNumberFormat="0" applyBorder="0" applyAlignment="0" applyProtection="0"/>
    <xf numFmtId="0" fontId="10" fillId="22" borderId="0" applyNumberFormat="0" applyBorder="0" applyAlignment="0" applyProtection="0"/>
    <xf numFmtId="0" fontId="30" fillId="47" borderId="0" applyNumberFormat="0" applyBorder="0" applyAlignment="0" applyProtection="0"/>
    <xf numFmtId="0" fontId="11" fillId="3" borderId="0" applyNumberFormat="0" applyBorder="0" applyAlignment="0" applyProtection="0"/>
    <xf numFmtId="0" fontId="31" fillId="48" borderId="0" applyNumberFormat="0" applyBorder="0" applyAlignment="0" applyProtection="0"/>
    <xf numFmtId="0" fontId="12" fillId="13" borderId="1" applyNumberFormat="0" applyAlignment="0" applyProtection="0"/>
    <xf numFmtId="0" fontId="32" fillId="49" borderId="19" applyNumberFormat="0" applyAlignment="0" applyProtection="0"/>
    <xf numFmtId="0" fontId="13" fillId="23" borderId="2" applyNumberFormat="0" applyAlignment="0" applyProtection="0"/>
    <xf numFmtId="0" fontId="33" fillId="50" borderId="20" applyNumberForma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35" fillId="51" borderId="0" applyNumberFormat="0" applyBorder="0" applyAlignment="0" applyProtection="0"/>
    <xf numFmtId="0" fontId="16" fillId="0" borderId="3" applyNumberFormat="0" applyFill="0" applyAlignment="0" applyProtection="0"/>
    <xf numFmtId="0" fontId="36" fillId="0" borderId="21" applyNumberFormat="0" applyFill="0" applyAlignment="0" applyProtection="0"/>
    <xf numFmtId="0" fontId="17" fillId="0" borderId="4" applyNumberFormat="0" applyFill="0" applyAlignment="0" applyProtection="0"/>
    <xf numFmtId="0" fontId="37" fillId="0" borderId="22" applyNumberFormat="0" applyFill="0" applyAlignment="0" applyProtection="0"/>
    <xf numFmtId="0" fontId="18" fillId="0" borderId="5" applyNumberFormat="0" applyFill="0" applyAlignment="0" applyProtection="0"/>
    <xf numFmtId="0" fontId="38" fillId="0" borderId="23" applyNumberFormat="0" applyFill="0" applyAlignment="0" applyProtection="0"/>
    <xf numFmtId="0" fontId="1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9" fillId="4" borderId="1" applyNumberFormat="0" applyAlignment="0" applyProtection="0"/>
    <xf numFmtId="0" fontId="39" fillId="52" borderId="19" applyNumberFormat="0" applyAlignment="0" applyProtection="0"/>
    <xf numFmtId="0" fontId="20" fillId="0" borderId="6" applyNumberFormat="0" applyFill="0" applyAlignment="0" applyProtection="0"/>
    <xf numFmtId="0" fontId="40" fillId="0" borderId="24" applyNumberFormat="0" applyFill="0" applyAlignment="0" applyProtection="0"/>
    <xf numFmtId="0" fontId="21" fillId="12" borderId="0" applyNumberFormat="0" applyBorder="0" applyAlignment="0" applyProtection="0"/>
    <xf numFmtId="0" fontId="41" fillId="53" borderId="0" applyNumberFormat="0" applyBorder="0" applyAlignment="0" applyProtection="0"/>
    <xf numFmtId="0" fontId="26" fillId="0" borderId="0"/>
    <xf numFmtId="0" fontId="29" fillId="0" borderId="0"/>
    <xf numFmtId="0" fontId="9" fillId="6" borderId="7" applyNumberFormat="0" applyFont="0" applyAlignment="0" applyProtection="0"/>
    <xf numFmtId="0" fontId="29" fillId="54" borderId="25" applyNumberFormat="0" applyFont="0" applyAlignment="0" applyProtection="0"/>
    <xf numFmtId="0" fontId="22" fillId="13" borderId="8" applyNumberFormat="0" applyAlignment="0" applyProtection="0"/>
    <xf numFmtId="0" fontId="42" fillId="49" borderId="26" applyNumberFormat="0" applyAlignment="0" applyProtection="0"/>
    <xf numFmtId="0" fontId="2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44" fillId="0" borderId="27" applyNumberFormat="0" applyFill="0" applyAlignment="0" applyProtection="0"/>
    <xf numFmtId="0" fontId="2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54" borderId="25" applyNumberFormat="0" applyFont="0" applyAlignment="0" applyProtection="0"/>
  </cellStyleXfs>
  <cellXfs count="165">
    <xf numFmtId="0" fontId="0" fillId="0" borderId="0" xfId="0"/>
    <xf numFmtId="44" fontId="0" fillId="0" borderId="0" xfId="0" applyNumberFormat="1" applyProtection="1">
      <protection hidden="1"/>
    </xf>
    <xf numFmtId="0" fontId="0" fillId="0" borderId="0" xfId="0" applyProtection="1">
      <protection hidden="1"/>
    </xf>
    <xf numFmtId="164" fontId="8" fillId="0" borderId="12" xfId="0" applyNumberFormat="1" applyFont="1" applyFill="1" applyBorder="1" applyAlignment="1" applyProtection="1">
      <alignment horizontal="center"/>
      <protection hidden="1"/>
    </xf>
    <xf numFmtId="0" fontId="0" fillId="0" borderId="35" xfId="0" applyBorder="1" applyProtection="1">
      <protection locked="0"/>
    </xf>
    <xf numFmtId="39" fontId="5" fillId="0" borderId="34" xfId="0" applyNumberFormat="1" applyFont="1" applyBorder="1" applyProtection="1">
      <protection hidden="1"/>
    </xf>
    <xf numFmtId="0" fontId="8" fillId="0" borderId="0" xfId="0" applyFont="1" applyFill="1" applyAlignment="1" applyProtection="1">
      <protection hidden="1"/>
    </xf>
    <xf numFmtId="0" fontId="8" fillId="0" borderId="0" xfId="0" applyFont="1" applyFill="1" applyProtection="1">
      <protection hidden="1"/>
    </xf>
    <xf numFmtId="0" fontId="49" fillId="59" borderId="10" xfId="0" applyFont="1" applyFill="1" applyBorder="1" applyAlignment="1" applyProtection="1">
      <alignment horizontal="center"/>
      <protection hidden="1"/>
    </xf>
    <xf numFmtId="44" fontId="54" fillId="0" borderId="12" xfId="0" applyNumberFormat="1" applyFont="1" applyBorder="1" applyProtection="1">
      <protection hidden="1"/>
    </xf>
    <xf numFmtId="44" fontId="46" fillId="55" borderId="13" xfId="0" applyNumberFormat="1" applyFont="1" applyFill="1" applyBorder="1" applyAlignment="1" applyProtection="1">
      <alignment horizontal="center"/>
      <protection hidden="1"/>
    </xf>
    <xf numFmtId="0" fontId="46" fillId="55" borderId="13" xfId="0" applyFont="1" applyFill="1" applyBorder="1" applyAlignment="1" applyProtection="1">
      <alignment horizontal="center"/>
      <protection hidden="1"/>
    </xf>
    <xf numFmtId="164" fontId="46" fillId="55" borderId="13" xfId="0" applyNumberFormat="1" applyFont="1" applyFill="1" applyBorder="1" applyAlignment="1" applyProtection="1">
      <alignment horizontal="center"/>
      <protection hidden="1"/>
    </xf>
    <xf numFmtId="0" fontId="62" fillId="55" borderId="13" xfId="0" applyFont="1" applyFill="1" applyBorder="1" applyAlignment="1" applyProtection="1">
      <alignment horizontal="center"/>
      <protection hidden="1"/>
    </xf>
    <xf numFmtId="4" fontId="62" fillId="55" borderId="13" xfId="0" applyNumberFormat="1" applyFont="1" applyFill="1" applyBorder="1" applyAlignment="1" applyProtection="1">
      <alignment horizontal="center"/>
      <protection hidden="1"/>
    </xf>
    <xf numFmtId="164" fontId="3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4" fontId="4" fillId="0" borderId="0" xfId="0" applyNumberFormat="1" applyFont="1" applyProtection="1">
      <protection hidden="1"/>
    </xf>
    <xf numFmtId="40" fontId="8" fillId="0" borderId="13" xfId="55" applyNumberFormat="1" applyFont="1" applyFill="1" applyBorder="1" applyAlignment="1" applyProtection="1">
      <alignment wrapText="1"/>
      <protection hidden="1"/>
    </xf>
    <xf numFmtId="40" fontId="8" fillId="0" borderId="12" xfId="55" applyNumberFormat="1" applyFont="1" applyFill="1" applyBorder="1" applyAlignment="1" applyProtection="1">
      <alignment wrapText="1"/>
      <protection hidden="1"/>
    </xf>
    <xf numFmtId="40" fontId="8" fillId="0" borderId="12" xfId="55" applyNumberFormat="1" applyFont="1" applyFill="1" applyBorder="1" applyAlignment="1" applyProtection="1">
      <protection hidden="1"/>
    </xf>
    <xf numFmtId="38" fontId="65" fillId="0" borderId="12" xfId="0" applyNumberFormat="1" applyFont="1" applyFill="1" applyBorder="1" applyAlignment="1" applyProtection="1">
      <alignment horizontal="center"/>
      <protection hidden="1"/>
    </xf>
    <xf numFmtId="40" fontId="65" fillId="0" borderId="12" xfId="55" applyNumberFormat="1" applyFont="1" applyFill="1" applyBorder="1" applyAlignment="1" applyProtection="1">
      <protection hidden="1"/>
    </xf>
    <xf numFmtId="40" fontId="65" fillId="0" borderId="0" xfId="0" applyNumberFormat="1" applyFont="1" applyFill="1" applyAlignment="1" applyProtection="1">
      <protection hidden="1"/>
    </xf>
    <xf numFmtId="0" fontId="65" fillId="0" borderId="0" xfId="0" applyFont="1" applyAlignment="1" applyProtection="1">
      <protection hidden="1"/>
    </xf>
    <xf numFmtId="40" fontId="8" fillId="0" borderId="0" xfId="0" applyNumberFormat="1" applyFont="1" applyFill="1" applyAlignment="1" applyProtection="1">
      <protection hidden="1"/>
    </xf>
    <xf numFmtId="0" fontId="0" fillId="0" borderId="0" xfId="0" applyProtection="1">
      <protection locked="0"/>
    </xf>
    <xf numFmtId="44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40" fontId="7" fillId="0" borderId="12" xfId="55" applyNumberFormat="1" applyFont="1" applyFill="1" applyBorder="1" applyAlignment="1" applyProtection="1">
      <protection hidden="1"/>
    </xf>
    <xf numFmtId="40" fontId="8" fillId="0" borderId="12" xfId="0" applyNumberFormat="1" applyFont="1" applyFill="1" applyBorder="1" applyAlignment="1" applyProtection="1">
      <protection hidden="1"/>
    </xf>
    <xf numFmtId="40" fontId="7" fillId="0" borderId="12" xfId="0" applyNumberFormat="1" applyFont="1" applyFill="1" applyBorder="1" applyAlignment="1" applyProtection="1">
      <protection hidden="1"/>
    </xf>
    <xf numFmtId="40" fontId="8" fillId="0" borderId="12" xfId="55" applyNumberFormat="1" applyFont="1" applyFill="1" applyBorder="1" applyAlignment="1" applyProtection="1">
      <protection locked="0"/>
    </xf>
    <xf numFmtId="40" fontId="8" fillId="0" borderId="12" xfId="0" applyNumberFormat="1" applyFont="1" applyFill="1" applyBorder="1" applyAlignment="1" applyProtection="1">
      <protection locked="0"/>
    </xf>
    <xf numFmtId="40" fontId="8" fillId="0" borderId="0" xfId="0" applyNumberFormat="1" applyFont="1" applyFill="1" applyAlignment="1" applyProtection="1">
      <protection locked="0"/>
    </xf>
    <xf numFmtId="40" fontId="8" fillId="0" borderId="0" xfId="55" applyNumberFormat="1" applyFont="1" applyFill="1" applyAlignment="1" applyProtection="1">
      <protection locked="0"/>
    </xf>
    <xf numFmtId="40" fontId="8" fillId="0" borderId="12" xfId="68" applyNumberFormat="1" applyFont="1" applyFill="1" applyBorder="1" applyAlignment="1" applyProtection="1">
      <protection locked="0"/>
    </xf>
    <xf numFmtId="40" fontId="8" fillId="0" borderId="15" xfId="68" applyNumberFormat="1" applyFont="1" applyFill="1" applyBorder="1" applyAlignment="1" applyProtection="1">
      <protection locked="0"/>
    </xf>
    <xf numFmtId="40" fontId="8" fillId="0" borderId="16" xfId="0" applyNumberFormat="1" applyFont="1" applyFill="1" applyBorder="1" applyAlignment="1" applyProtection="1">
      <protection locked="0"/>
    </xf>
    <xf numFmtId="40" fontId="8" fillId="0" borderId="0" xfId="0" applyNumberFormat="1" applyFont="1" applyFill="1" applyBorder="1" applyAlignment="1" applyProtection="1">
      <protection locked="0"/>
    </xf>
    <xf numFmtId="166" fontId="4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8" fillId="0" borderId="0" xfId="0" applyFont="1" applyFill="1" applyAlignment="1" applyProtection="1">
      <alignment horizontal="center"/>
      <protection hidden="1"/>
    </xf>
    <xf numFmtId="0" fontId="49" fillId="59" borderId="11" xfId="0" applyFont="1" applyFill="1" applyBorder="1" applyAlignment="1" applyProtection="1">
      <alignment horizontal="center"/>
      <protection hidden="1"/>
    </xf>
    <xf numFmtId="0" fontId="8" fillId="0" borderId="0" xfId="0" applyFont="1" applyFill="1" applyAlignment="1" applyProtection="1">
      <alignment horizontal="center"/>
      <protection hidden="1"/>
    </xf>
    <xf numFmtId="0" fontId="49" fillId="59" borderId="17" xfId="0" applyFont="1" applyFill="1" applyBorder="1" applyAlignment="1" applyProtection="1">
      <alignment horizontal="center"/>
      <protection hidden="1"/>
    </xf>
    <xf numFmtId="0" fontId="49" fillId="59" borderId="11" xfId="0" applyFont="1" applyFill="1" applyBorder="1" applyAlignment="1" applyProtection="1">
      <alignment horizontal="center"/>
      <protection hidden="1"/>
    </xf>
    <xf numFmtId="43" fontId="8" fillId="0" borderId="0" xfId="55" applyFont="1" applyFill="1" applyAlignment="1" applyProtection="1">
      <alignment horizontal="center"/>
      <protection hidden="1"/>
    </xf>
    <xf numFmtId="0" fontId="49" fillId="55" borderId="17" xfId="0" applyFont="1" applyFill="1" applyBorder="1" applyAlignment="1" applyProtection="1">
      <alignment horizontal="center"/>
      <protection hidden="1"/>
    </xf>
    <xf numFmtId="0" fontId="49" fillId="55" borderId="18" xfId="0" applyFont="1" applyFill="1" applyBorder="1" applyAlignment="1" applyProtection="1">
      <alignment horizontal="center"/>
      <protection hidden="1"/>
    </xf>
    <xf numFmtId="0" fontId="49" fillId="55" borderId="11" xfId="0" applyFont="1" applyFill="1" applyBorder="1" applyAlignment="1" applyProtection="1">
      <alignment horizontal="center"/>
      <protection hidden="1"/>
    </xf>
    <xf numFmtId="0" fontId="49" fillId="55" borderId="40" xfId="0" applyFont="1" applyFill="1" applyBorder="1" applyAlignment="1" applyProtection="1">
      <alignment horizontal="center" vertical="center"/>
      <protection hidden="1"/>
    </xf>
    <xf numFmtId="0" fontId="49" fillId="55" borderId="51" xfId="0" applyFont="1" applyFill="1" applyBorder="1" applyAlignment="1" applyProtection="1">
      <alignment horizontal="center" vertical="center"/>
      <protection hidden="1"/>
    </xf>
    <xf numFmtId="0" fontId="49" fillId="55" borderId="39" xfId="0" applyFont="1" applyFill="1" applyBorder="1" applyAlignment="1" applyProtection="1">
      <alignment horizontal="center" vertical="center"/>
      <protection hidden="1"/>
    </xf>
    <xf numFmtId="0" fontId="51" fillId="56" borderId="38" xfId="0" applyFont="1" applyFill="1" applyBorder="1" applyAlignment="1" applyProtection="1">
      <alignment horizontal="center" vertical="center"/>
      <protection hidden="1"/>
    </xf>
    <xf numFmtId="0" fontId="51" fillId="56" borderId="0" xfId="0" applyFont="1" applyFill="1" applyBorder="1" applyAlignment="1" applyProtection="1">
      <alignment horizontal="center" vertical="center"/>
      <protection hidden="1"/>
    </xf>
    <xf numFmtId="0" fontId="51" fillId="56" borderId="29" xfId="0" applyFont="1" applyFill="1" applyBorder="1" applyAlignment="1" applyProtection="1">
      <alignment horizontal="center" vertical="center"/>
      <protection hidden="1"/>
    </xf>
    <xf numFmtId="0" fontId="51" fillId="56" borderId="28" xfId="0" applyFont="1" applyFill="1" applyBorder="1" applyAlignment="1" applyProtection="1">
      <alignment horizontal="center" vertical="center"/>
      <protection hidden="1"/>
    </xf>
    <xf numFmtId="0" fontId="50" fillId="58" borderId="0" xfId="0" applyFont="1" applyFill="1" applyAlignment="1" applyProtection="1">
      <alignment horizontal="center" vertical="center"/>
      <protection hidden="1"/>
    </xf>
    <xf numFmtId="0" fontId="50" fillId="58" borderId="28" xfId="0" applyFont="1" applyFill="1" applyBorder="1" applyAlignment="1" applyProtection="1">
      <alignment horizontal="center" vertical="center"/>
      <protection hidden="1"/>
    </xf>
    <xf numFmtId="0" fontId="52" fillId="58" borderId="38" xfId="0" applyFont="1" applyFill="1" applyBorder="1" applyAlignment="1" applyProtection="1">
      <alignment horizontal="center" vertical="center"/>
      <protection hidden="1"/>
    </xf>
    <xf numFmtId="0" fontId="52" fillId="58" borderId="29" xfId="0" applyFont="1" applyFill="1" applyBorder="1" applyAlignment="1" applyProtection="1">
      <alignment horizontal="center" vertical="center"/>
      <protection hidden="1"/>
    </xf>
    <xf numFmtId="0" fontId="51" fillId="56" borderId="32" xfId="0" applyFont="1" applyFill="1" applyBorder="1" applyAlignment="1" applyProtection="1">
      <alignment horizontal="center" vertical="center"/>
      <protection hidden="1"/>
    </xf>
    <xf numFmtId="0" fontId="51" fillId="56" borderId="31" xfId="0" applyFont="1" applyFill="1" applyBorder="1" applyAlignment="1" applyProtection="1">
      <alignment horizontal="center" vertical="center"/>
      <protection hidden="1"/>
    </xf>
    <xf numFmtId="0" fontId="51" fillId="56" borderId="33" xfId="0" applyFont="1" applyFill="1" applyBorder="1" applyAlignment="1" applyProtection="1">
      <alignment horizontal="center" vertical="center"/>
      <protection hidden="1"/>
    </xf>
    <xf numFmtId="0" fontId="51" fillId="56" borderId="30" xfId="0" applyFont="1" applyFill="1" applyBorder="1" applyAlignment="1" applyProtection="1">
      <alignment horizontal="center" vertical="center"/>
      <protection hidden="1"/>
    </xf>
    <xf numFmtId="164" fontId="51" fillId="55" borderId="17" xfId="0" applyNumberFormat="1" applyFont="1" applyFill="1" applyBorder="1" applyAlignment="1" applyProtection="1">
      <alignment horizontal="center"/>
      <protection hidden="1"/>
    </xf>
    <xf numFmtId="164" fontId="51" fillId="55" borderId="11" xfId="0" applyNumberFormat="1" applyFont="1" applyFill="1" applyBorder="1" applyAlignment="1" applyProtection="1">
      <alignment horizontal="center"/>
      <protection hidden="1"/>
    </xf>
    <xf numFmtId="164" fontId="51" fillId="55" borderId="18" xfId="0" applyNumberFormat="1" applyFont="1" applyFill="1" applyBorder="1" applyAlignment="1" applyProtection="1">
      <alignment horizontal="center"/>
      <protection hidden="1"/>
    </xf>
    <xf numFmtId="0" fontId="26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3" fillId="0" borderId="13" xfId="0" applyFont="1" applyBorder="1" applyAlignment="1" applyProtection="1">
      <protection locked="0"/>
    </xf>
    <xf numFmtId="0" fontId="3" fillId="0" borderId="45" xfId="0" applyFont="1" applyBorder="1" applyAlignment="1" applyProtection="1">
      <protection locked="0"/>
    </xf>
    <xf numFmtId="0" fontId="3" fillId="0" borderId="12" xfId="0" applyFont="1" applyBorder="1" applyAlignment="1" applyProtection="1">
      <protection locked="0"/>
    </xf>
    <xf numFmtId="0" fontId="3" fillId="0" borderId="47" xfId="0" applyFont="1" applyBorder="1" applyAlignment="1" applyProtection="1">
      <protection locked="0"/>
    </xf>
    <xf numFmtId="0" fontId="3" fillId="0" borderId="49" xfId="0" applyFont="1" applyBorder="1" applyAlignment="1" applyProtection="1">
      <protection locked="0"/>
    </xf>
    <xf numFmtId="0" fontId="3" fillId="0" borderId="50" xfId="0" applyFont="1" applyBorder="1" applyAlignment="1" applyProtection="1">
      <protection locked="0"/>
    </xf>
    <xf numFmtId="0" fontId="47" fillId="55" borderId="17" xfId="0" applyFont="1" applyFill="1" applyBorder="1" applyAlignment="1" applyProtection="1">
      <alignment horizontal="center"/>
      <protection hidden="1"/>
    </xf>
    <xf numFmtId="0" fontId="47" fillId="55" borderId="11" xfId="0" applyFont="1" applyFill="1" applyBorder="1" applyAlignment="1" applyProtection="1">
      <alignment horizontal="center"/>
      <protection hidden="1"/>
    </xf>
    <xf numFmtId="0" fontId="47" fillId="55" borderId="18" xfId="0" applyFont="1" applyFill="1" applyBorder="1" applyAlignment="1" applyProtection="1">
      <alignment horizontal="center"/>
      <protection hidden="1"/>
    </xf>
    <xf numFmtId="0" fontId="56" fillId="59" borderId="40" xfId="0" applyFont="1" applyFill="1" applyBorder="1" applyAlignment="1" applyProtection="1">
      <alignment horizontal="center" vertical="center" wrapText="1"/>
      <protection hidden="1"/>
    </xf>
    <xf numFmtId="0" fontId="56" fillId="59" borderId="39" xfId="0" applyFont="1" applyFill="1" applyBorder="1" applyAlignment="1" applyProtection="1">
      <alignment horizontal="center" vertical="center" wrapText="1"/>
      <protection hidden="1"/>
    </xf>
    <xf numFmtId="40" fontId="8" fillId="0" borderId="13" xfId="55" applyNumberFormat="1" applyFont="1" applyFill="1" applyBorder="1" applyAlignment="1" applyProtection="1">
      <protection locked="0"/>
    </xf>
    <xf numFmtId="0" fontId="48" fillId="59" borderId="40" xfId="0" applyFont="1" applyFill="1" applyBorder="1" applyAlignment="1" applyProtection="1">
      <alignment horizontal="center" vertical="center"/>
      <protection hidden="1"/>
    </xf>
    <xf numFmtId="0" fontId="48" fillId="59" borderId="39" xfId="0" applyFont="1" applyFill="1" applyBorder="1" applyAlignment="1" applyProtection="1">
      <alignment horizontal="center" vertical="center"/>
      <protection hidden="1"/>
    </xf>
    <xf numFmtId="40" fontId="8" fillId="0" borderId="37" xfId="0" applyNumberFormat="1" applyFont="1" applyFill="1" applyBorder="1" applyAlignment="1" applyProtection="1">
      <protection locked="0"/>
    </xf>
    <xf numFmtId="0" fontId="48" fillId="59" borderId="40" xfId="0" applyFont="1" applyFill="1" applyBorder="1" applyAlignment="1" applyProtection="1">
      <alignment horizontal="center" vertical="center" wrapText="1"/>
      <protection hidden="1"/>
    </xf>
    <xf numFmtId="0" fontId="48" fillId="59" borderId="39" xfId="0" applyFont="1" applyFill="1" applyBorder="1" applyAlignment="1" applyProtection="1">
      <alignment horizontal="center" vertical="center" wrapText="1"/>
      <protection hidden="1"/>
    </xf>
    <xf numFmtId="40" fontId="8" fillId="0" borderId="13" xfId="0" applyNumberFormat="1" applyFont="1" applyFill="1" applyBorder="1" applyAlignment="1" applyProtection="1">
      <protection locked="0"/>
    </xf>
    <xf numFmtId="0" fontId="55" fillId="55" borderId="10" xfId="0" applyFont="1" applyFill="1" applyBorder="1" applyAlignment="1" applyProtection="1">
      <alignment horizontal="center"/>
      <protection hidden="1"/>
    </xf>
    <xf numFmtId="0" fontId="48" fillId="59" borderId="10" xfId="0" applyFont="1" applyFill="1" applyBorder="1" applyAlignment="1" applyProtection="1">
      <alignment horizontal="center" wrapText="1"/>
      <protection hidden="1"/>
    </xf>
    <xf numFmtId="0" fontId="48" fillId="59" borderId="10" xfId="0" quotePrefix="1" applyFont="1" applyFill="1" applyBorder="1" applyAlignment="1" applyProtection="1">
      <alignment horizontal="center" wrapText="1"/>
      <protection hidden="1"/>
    </xf>
    <xf numFmtId="40" fontId="8" fillId="0" borderId="13" xfId="55" applyNumberFormat="1" applyFont="1" applyFill="1" applyBorder="1" applyAlignment="1" applyProtection="1">
      <protection hidden="1"/>
    </xf>
    <xf numFmtId="164" fontId="8" fillId="0" borderId="13" xfId="0" applyNumberFormat="1" applyFont="1" applyFill="1" applyBorder="1" applyAlignment="1" applyProtection="1">
      <alignment horizontal="center"/>
      <protection hidden="1"/>
    </xf>
    <xf numFmtId="0" fontId="56" fillId="59" borderId="51" xfId="0" applyFont="1" applyFill="1" applyBorder="1" applyAlignment="1" applyProtection="1">
      <alignment horizontal="center" vertical="center" wrapText="1"/>
      <protection hidden="1"/>
    </xf>
    <xf numFmtId="0" fontId="50" fillId="55" borderId="10" xfId="0" applyFont="1" applyFill="1" applyBorder="1" applyAlignment="1" applyProtection="1">
      <alignment horizontal="center"/>
      <protection hidden="1"/>
    </xf>
    <xf numFmtId="8" fontId="61" fillId="57" borderId="40" xfId="0" applyNumberFormat="1" applyFont="1" applyFill="1" applyBorder="1" applyAlignment="1" applyProtection="1">
      <alignment horizontal="center" vertical="center"/>
      <protection locked="0"/>
    </xf>
    <xf numFmtId="8" fontId="61" fillId="57" borderId="39" xfId="0" applyNumberFormat="1" applyFont="1" applyFill="1" applyBorder="1" applyAlignment="1" applyProtection="1">
      <alignment horizontal="center" vertical="center"/>
      <protection locked="0"/>
    </xf>
    <xf numFmtId="0" fontId="66" fillId="55" borderId="40" xfId="0" applyFont="1" applyFill="1" applyBorder="1" applyAlignment="1" applyProtection="1">
      <alignment horizontal="center" vertical="center"/>
      <protection hidden="1"/>
    </xf>
    <xf numFmtId="0" fontId="66" fillId="55" borderId="39" xfId="0" applyFont="1" applyFill="1" applyBorder="1" applyAlignment="1" applyProtection="1">
      <alignment horizontal="center" vertical="center"/>
      <protection hidden="1"/>
    </xf>
    <xf numFmtId="0" fontId="59" fillId="57" borderId="40" xfId="0" applyFont="1" applyFill="1" applyBorder="1" applyAlignment="1" applyProtection="1">
      <alignment horizontal="center" vertical="center"/>
      <protection locked="0"/>
    </xf>
    <xf numFmtId="0" fontId="59" fillId="57" borderId="39" xfId="0" applyFont="1" applyFill="1" applyBorder="1" applyAlignment="1" applyProtection="1">
      <alignment horizontal="center" vertical="center"/>
      <protection locked="0"/>
    </xf>
    <xf numFmtId="165" fontId="61" fillId="57" borderId="32" xfId="0" applyNumberFormat="1" applyFont="1" applyFill="1" applyBorder="1" applyAlignment="1" applyProtection="1">
      <alignment horizontal="center" vertical="center"/>
      <protection locked="0"/>
    </xf>
    <xf numFmtId="165" fontId="61" fillId="57" borderId="33" xfId="0" applyNumberFormat="1" applyFont="1" applyFill="1" applyBorder="1" applyAlignment="1" applyProtection="1">
      <alignment horizontal="center" vertical="center"/>
      <protection locked="0"/>
    </xf>
    <xf numFmtId="165" fontId="61" fillId="57" borderId="29" xfId="0" applyNumberFormat="1" applyFont="1" applyFill="1" applyBorder="1" applyAlignment="1" applyProtection="1">
      <alignment horizontal="center" vertical="center"/>
      <protection locked="0"/>
    </xf>
    <xf numFmtId="165" fontId="61" fillId="57" borderId="30" xfId="0" applyNumberFormat="1" applyFont="1" applyFill="1" applyBorder="1" applyAlignment="1" applyProtection="1">
      <alignment horizontal="center" vertical="center"/>
      <protection locked="0"/>
    </xf>
    <xf numFmtId="40" fontId="8" fillId="0" borderId="34" xfId="0" applyNumberFormat="1" applyFont="1" applyFill="1" applyBorder="1" applyAlignment="1" applyProtection="1">
      <protection locked="0"/>
    </xf>
    <xf numFmtId="0" fontId="8" fillId="0" borderId="0" xfId="0" applyFont="1" applyFill="1" applyBorder="1" applyProtection="1">
      <protection locked="0"/>
    </xf>
    <xf numFmtId="0" fontId="8" fillId="0" borderId="35" xfId="0" applyFont="1" applyFill="1" applyBorder="1" applyProtection="1">
      <protection locked="0"/>
    </xf>
    <xf numFmtId="40" fontId="8" fillId="0" borderId="36" xfId="0" applyNumberFormat="1" applyFont="1" applyFill="1" applyBorder="1" applyAlignment="1" applyProtection="1">
      <protection locked="0"/>
    </xf>
    <xf numFmtId="0" fontId="8" fillId="0" borderId="14" xfId="0" applyFont="1" applyFill="1" applyBorder="1" applyProtection="1">
      <protection locked="0"/>
    </xf>
    <xf numFmtId="0" fontId="8" fillId="0" borderId="37" xfId="0" applyFont="1" applyFill="1" applyBorder="1" applyProtection="1">
      <protection locked="0"/>
    </xf>
    <xf numFmtId="0" fontId="8" fillId="0" borderId="34" xfId="0" applyFont="1" applyFill="1" applyBorder="1" applyAlignment="1" applyProtection="1">
      <protection locked="0"/>
    </xf>
    <xf numFmtId="0" fontId="8" fillId="0" borderId="36" xfId="0" applyFont="1" applyFill="1" applyBorder="1" applyAlignment="1" applyProtection="1">
      <protection locked="0"/>
    </xf>
    <xf numFmtId="40" fontId="8" fillId="0" borderId="14" xfId="0" applyNumberFormat="1" applyFont="1" applyFill="1" applyBorder="1" applyAlignment="1" applyProtection="1">
      <protection locked="0"/>
    </xf>
    <xf numFmtId="43" fontId="46" fillId="55" borderId="13" xfId="55" applyFont="1" applyFill="1" applyBorder="1" applyAlignment="1" applyProtection="1">
      <alignment horizontal="center"/>
      <protection hidden="1"/>
    </xf>
    <xf numFmtId="0" fontId="60" fillId="55" borderId="17" xfId="0" applyFont="1" applyFill="1" applyBorder="1" applyAlignment="1" applyProtection="1">
      <alignment horizontal="center"/>
      <protection hidden="1"/>
    </xf>
    <xf numFmtId="0" fontId="60" fillId="55" borderId="11" xfId="0" applyFont="1" applyFill="1" applyBorder="1" applyAlignment="1" applyProtection="1">
      <alignment horizontal="center"/>
      <protection hidden="1"/>
    </xf>
    <xf numFmtId="0" fontId="60" fillId="55" borderId="18" xfId="0" applyFont="1" applyFill="1" applyBorder="1" applyAlignment="1" applyProtection="1">
      <alignment horizontal="center"/>
      <protection hidden="1"/>
    </xf>
    <xf numFmtId="0" fontId="3" fillId="0" borderId="44" xfId="0" applyFont="1" applyBorder="1" applyProtection="1">
      <protection hidden="1"/>
    </xf>
    <xf numFmtId="0" fontId="3" fillId="0" borderId="0" xfId="0" applyFont="1" applyProtection="1">
      <protection hidden="1"/>
    </xf>
    <xf numFmtId="0" fontId="3" fillId="0" borderId="46" xfId="0" applyFont="1" applyBorder="1" applyProtection="1">
      <protection hidden="1"/>
    </xf>
    <xf numFmtId="0" fontId="3" fillId="0" borderId="48" xfId="0" applyFont="1" applyBorder="1" applyProtection="1">
      <protection hidden="1"/>
    </xf>
    <xf numFmtId="0" fontId="53" fillId="55" borderId="13" xfId="0" applyFont="1" applyFill="1" applyBorder="1" applyAlignment="1" applyProtection="1">
      <alignment horizontal="center"/>
      <protection hidden="1"/>
    </xf>
    <xf numFmtId="0" fontId="53" fillId="55" borderId="13" xfId="0" applyFont="1" applyFill="1" applyBorder="1" applyAlignment="1" applyProtection="1">
      <alignment horizontal="center"/>
      <protection hidden="1"/>
    </xf>
    <xf numFmtId="0" fontId="54" fillId="0" borderId="12" xfId="0" applyFont="1" applyBorder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49" fillId="55" borderId="17" xfId="0" applyNumberFormat="1" applyFont="1" applyFill="1" applyBorder="1" applyAlignment="1" applyProtection="1">
      <alignment horizontal="center"/>
      <protection hidden="1"/>
    </xf>
    <xf numFmtId="0" fontId="49" fillId="55" borderId="11" xfId="0" applyNumberFormat="1" applyFont="1" applyFill="1" applyBorder="1" applyAlignment="1" applyProtection="1">
      <alignment horizontal="center"/>
      <protection hidden="1"/>
    </xf>
    <xf numFmtId="0" fontId="49" fillId="55" borderId="18" xfId="0" applyNumberFormat="1" applyFont="1" applyFill="1" applyBorder="1" applyAlignment="1" applyProtection="1">
      <alignment horizontal="center"/>
      <protection hidden="1"/>
    </xf>
    <xf numFmtId="0" fontId="0" fillId="0" borderId="0" xfId="0" applyNumberFormat="1" applyProtection="1">
      <protection hidden="1"/>
    </xf>
    <xf numFmtId="0" fontId="53" fillId="55" borderId="13" xfId="0" applyNumberFormat="1" applyFont="1" applyFill="1" applyBorder="1" applyAlignment="1" applyProtection="1">
      <alignment horizontal="center"/>
      <protection hidden="1"/>
    </xf>
    <xf numFmtId="0" fontId="53" fillId="55" borderId="13" xfId="0" applyNumberFormat="1" applyFont="1" applyFill="1" applyBorder="1" applyAlignment="1" applyProtection="1">
      <alignment horizontal="center"/>
      <protection hidden="1"/>
    </xf>
    <xf numFmtId="43" fontId="0" fillId="0" borderId="34" xfId="0" applyNumberFormat="1" applyBorder="1" applyProtection="1">
      <protection hidden="1"/>
    </xf>
    <xf numFmtId="0" fontId="0" fillId="0" borderId="35" xfId="0" applyNumberFormat="1" applyBorder="1" applyProtection="1">
      <protection hidden="1"/>
    </xf>
    <xf numFmtId="4" fontId="54" fillId="0" borderId="16" xfId="0" applyNumberFormat="1" applyFont="1" applyBorder="1" applyProtection="1">
      <protection hidden="1"/>
    </xf>
    <xf numFmtId="0" fontId="54" fillId="0" borderId="12" xfId="0" applyNumberFormat="1" applyFont="1" applyBorder="1" applyAlignment="1" applyProtection="1">
      <alignment horizontal="center"/>
      <protection hidden="1"/>
    </xf>
    <xf numFmtId="0" fontId="58" fillId="0" borderId="0" xfId="0" applyNumberFormat="1" applyFont="1" applyProtection="1">
      <protection hidden="1"/>
    </xf>
    <xf numFmtId="44" fontId="57" fillId="0" borderId="54" xfId="0" applyNumberFormat="1" applyFont="1" applyBorder="1" applyProtection="1">
      <protection hidden="1"/>
    </xf>
    <xf numFmtId="0" fontId="59" fillId="0" borderId="55" xfId="0" applyNumberFormat="1" applyFont="1" applyBorder="1" applyAlignment="1" applyProtection="1">
      <alignment horizontal="center"/>
      <protection hidden="1"/>
    </xf>
    <xf numFmtId="0" fontId="59" fillId="0" borderId="53" xfId="0" applyNumberFormat="1" applyFont="1" applyBorder="1" applyAlignment="1" applyProtection="1">
      <alignment horizontal="center"/>
      <protection hidden="1"/>
    </xf>
    <xf numFmtId="0" fontId="59" fillId="0" borderId="56" xfId="0" applyNumberFormat="1" applyFont="1" applyBorder="1" applyAlignment="1" applyProtection="1">
      <alignment horizontal="center"/>
      <protection hidden="1"/>
    </xf>
    <xf numFmtId="43" fontId="60" fillId="59" borderId="17" xfId="0" applyNumberFormat="1" applyFont="1" applyFill="1" applyBorder="1" applyAlignment="1" applyProtection="1">
      <alignment horizontal="center"/>
      <protection hidden="1"/>
    </xf>
    <xf numFmtId="43" fontId="60" fillId="59" borderId="11" xfId="0" applyNumberFormat="1" applyFont="1" applyFill="1" applyBorder="1" applyAlignment="1" applyProtection="1">
      <alignment horizontal="center"/>
      <protection hidden="1"/>
    </xf>
    <xf numFmtId="43" fontId="60" fillId="59" borderId="18" xfId="0" applyNumberFormat="1" applyFont="1" applyFill="1" applyBorder="1" applyAlignment="1" applyProtection="1">
      <alignment horizontal="center"/>
      <protection hidden="1"/>
    </xf>
    <xf numFmtId="0" fontId="2" fillId="0" borderId="0" xfId="0" applyNumberFormat="1" applyFont="1" applyProtection="1">
      <protection hidden="1"/>
    </xf>
    <xf numFmtId="44" fontId="57" fillId="0" borderId="41" xfId="0" applyNumberFormat="1" applyFont="1" applyBorder="1" applyProtection="1">
      <protection hidden="1"/>
    </xf>
    <xf numFmtId="0" fontId="59" fillId="0" borderId="11" xfId="0" applyNumberFormat="1" applyFont="1" applyBorder="1" applyAlignment="1" applyProtection="1">
      <alignment horizontal="center"/>
      <protection hidden="1"/>
    </xf>
    <xf numFmtId="0" fontId="59" fillId="0" borderId="18" xfId="0" applyNumberFormat="1" applyFont="1" applyBorder="1" applyAlignment="1" applyProtection="1">
      <alignment horizontal="center"/>
      <protection hidden="1"/>
    </xf>
    <xf numFmtId="0" fontId="52" fillId="55" borderId="32" xfId="0" applyNumberFormat="1" applyFont="1" applyFill="1" applyBorder="1" applyAlignment="1" applyProtection="1">
      <alignment horizontal="center"/>
      <protection hidden="1"/>
    </xf>
    <xf numFmtId="0" fontId="52" fillId="55" borderId="31" xfId="0" applyNumberFormat="1" applyFont="1" applyFill="1" applyBorder="1" applyAlignment="1" applyProtection="1">
      <alignment horizontal="center"/>
      <protection hidden="1"/>
    </xf>
    <xf numFmtId="0" fontId="52" fillId="55" borderId="33" xfId="0" applyNumberFormat="1" applyFont="1" applyFill="1" applyBorder="1" applyAlignment="1" applyProtection="1">
      <alignment horizontal="center"/>
      <protection hidden="1"/>
    </xf>
    <xf numFmtId="0" fontId="53" fillId="55" borderId="12" xfId="0" applyNumberFormat="1" applyFont="1" applyFill="1" applyBorder="1" applyAlignment="1" applyProtection="1">
      <alignment horizontal="center"/>
      <protection hidden="1"/>
    </xf>
    <xf numFmtId="40" fontId="5" fillId="0" borderId="0" xfId="0" applyNumberFormat="1" applyFont="1" applyBorder="1" applyProtection="1">
      <protection locked="0"/>
    </xf>
    <xf numFmtId="0" fontId="5" fillId="0" borderId="52" xfId="0" applyNumberFormat="1" applyFont="1" applyBorder="1" applyAlignment="1" applyProtection="1">
      <alignment horizontal="center"/>
      <protection locked="0"/>
    </xf>
    <xf numFmtId="0" fontId="5" fillId="0" borderId="0" xfId="0" applyNumberFormat="1" applyFont="1" applyBorder="1" applyAlignment="1" applyProtection="1">
      <alignment horizontal="center"/>
      <protection locked="0"/>
    </xf>
    <xf numFmtId="0" fontId="5" fillId="0" borderId="0" xfId="0" applyNumberFormat="1" applyFont="1" applyBorder="1" applyAlignment="1" applyProtection="1">
      <alignment horizontal="center"/>
      <protection locked="0"/>
    </xf>
    <xf numFmtId="40" fontId="47" fillId="55" borderId="32" xfId="0" applyNumberFormat="1" applyFont="1" applyFill="1" applyBorder="1" applyAlignment="1" applyProtection="1">
      <alignment horizontal="center"/>
      <protection hidden="1"/>
    </xf>
    <xf numFmtId="40" fontId="47" fillId="55" borderId="31" xfId="0" applyNumberFormat="1" applyFont="1" applyFill="1" applyBorder="1" applyAlignment="1" applyProtection="1">
      <alignment horizontal="center"/>
      <protection hidden="1"/>
    </xf>
    <xf numFmtId="40" fontId="47" fillId="55" borderId="33" xfId="0" applyNumberFormat="1" applyFont="1" applyFill="1" applyBorder="1" applyAlignment="1" applyProtection="1">
      <alignment horizontal="center"/>
      <protection hidden="1"/>
    </xf>
    <xf numFmtId="44" fontId="46" fillId="55" borderId="41" xfId="0" applyNumberFormat="1" applyFont="1" applyFill="1" applyBorder="1" applyAlignment="1" applyProtection="1">
      <alignment horizontal="center"/>
      <protection hidden="1"/>
    </xf>
    <xf numFmtId="49" fontId="46" fillId="55" borderId="42" xfId="0" applyNumberFormat="1" applyFont="1" applyFill="1" applyBorder="1" applyAlignment="1" applyProtection="1">
      <alignment horizontal="center"/>
      <protection hidden="1"/>
    </xf>
    <xf numFmtId="49" fontId="46" fillId="55" borderId="43" xfId="0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Alignment="1" applyProtection="1">
      <alignment horizontal="center"/>
      <protection hidden="1"/>
    </xf>
  </cellXfs>
  <cellStyles count="125">
    <cellStyle name="20% - Accent1" xfId="1" builtinId="30" customBuiltin="1"/>
    <cellStyle name="20% - Accent1 2" xfId="2"/>
    <cellStyle name="20% - Accent1 2 2" xfId="110"/>
    <cellStyle name="20% - Accent2" xfId="3" builtinId="34" customBuiltin="1"/>
    <cellStyle name="20% - Accent2 2" xfId="4"/>
    <cellStyle name="20% - Accent2 2 2" xfId="111"/>
    <cellStyle name="20% - Accent3" xfId="5" builtinId="38" customBuiltin="1"/>
    <cellStyle name="20% - Accent3 2" xfId="6"/>
    <cellStyle name="20% - Accent3 2 2" xfId="112"/>
    <cellStyle name="20% - Accent4" xfId="7" builtinId="42" customBuiltin="1"/>
    <cellStyle name="20% - Accent4 2" xfId="8"/>
    <cellStyle name="20% - Accent4 2 2" xfId="113"/>
    <cellStyle name="20% - Accent5" xfId="9" builtinId="46" customBuiltin="1"/>
    <cellStyle name="20% - Accent5 2" xfId="10"/>
    <cellStyle name="20% - Accent5 2 2" xfId="114"/>
    <cellStyle name="20% - Accent6" xfId="11" builtinId="50" customBuiltin="1"/>
    <cellStyle name="20% - Accent6 2" xfId="12"/>
    <cellStyle name="20% - Accent6 2 2" xfId="115"/>
    <cellStyle name="40% - Accent1" xfId="13" builtinId="31" customBuiltin="1"/>
    <cellStyle name="40% - Accent1 2" xfId="14"/>
    <cellStyle name="40% - Accent1 2 2" xfId="116"/>
    <cellStyle name="40% - Accent2" xfId="15" builtinId="35" customBuiltin="1"/>
    <cellStyle name="40% - Accent2 2" xfId="16"/>
    <cellStyle name="40% - Accent2 2 2" xfId="117"/>
    <cellStyle name="40% - Accent3" xfId="17" builtinId="39" customBuiltin="1"/>
    <cellStyle name="40% - Accent3 2" xfId="18"/>
    <cellStyle name="40% - Accent3 2 2" xfId="118"/>
    <cellStyle name="40% - Accent4" xfId="19" builtinId="43" customBuiltin="1"/>
    <cellStyle name="40% - Accent4 2" xfId="20"/>
    <cellStyle name="40% - Accent4 2 2" xfId="119"/>
    <cellStyle name="40% - Accent5" xfId="21" builtinId="47" customBuiltin="1"/>
    <cellStyle name="40% - Accent5 2" xfId="22"/>
    <cellStyle name="40% - Accent5 2 2" xfId="120"/>
    <cellStyle name="40% - Accent6" xfId="23" builtinId="51" customBuiltin="1"/>
    <cellStyle name="40% - Accent6 2" xfId="24"/>
    <cellStyle name="40% - Accent6 2 2" xfId="121"/>
    <cellStyle name="60% - Accent1" xfId="25" builtinId="32" customBuiltin="1"/>
    <cellStyle name="60% - Accent1 2" xfId="26"/>
    <cellStyle name="60% - Accent2" xfId="27" builtinId="36" customBuiltin="1"/>
    <cellStyle name="60% - Accent2 2" xfId="28"/>
    <cellStyle name="60% - Accent3" xfId="29" builtinId="40" customBuiltin="1"/>
    <cellStyle name="60% - Accent3 2" xfId="30"/>
    <cellStyle name="60% - Accent4" xfId="31" builtinId="44" customBuiltin="1"/>
    <cellStyle name="60% - Accent4 2" xfId="32"/>
    <cellStyle name="60% - Accent5" xfId="33" builtinId="48" customBuiltin="1"/>
    <cellStyle name="60% - Accent5 2" xfId="34"/>
    <cellStyle name="60% - Accent6" xfId="35" builtinId="52" customBuiltin="1"/>
    <cellStyle name="60% - Accent6 2" xfId="36"/>
    <cellStyle name="Accent1" xfId="37" builtinId="29" customBuiltin="1"/>
    <cellStyle name="Accent1 2" xfId="38"/>
    <cellStyle name="Accent2" xfId="39" builtinId="33" customBuiltin="1"/>
    <cellStyle name="Accent2 2" xfId="40"/>
    <cellStyle name="Accent3" xfId="41" builtinId="37" customBuiltin="1"/>
    <cellStyle name="Accent3 2" xfId="42"/>
    <cellStyle name="Accent4" xfId="43" builtinId="41" customBuiltin="1"/>
    <cellStyle name="Accent4 2" xfId="44"/>
    <cellStyle name="Accent5" xfId="45" builtinId="45" customBuiltin="1"/>
    <cellStyle name="Accent5 2" xfId="46"/>
    <cellStyle name="Accent6" xfId="47" builtinId="49" customBuiltin="1"/>
    <cellStyle name="Accent6 2" xfId="48"/>
    <cellStyle name="Bad" xfId="49" builtinId="27" customBuiltin="1"/>
    <cellStyle name="Bad 2" xfId="50"/>
    <cellStyle name="Calculation" xfId="51" builtinId="22" customBuiltin="1"/>
    <cellStyle name="Calculation 2" xfId="52"/>
    <cellStyle name="Check Cell" xfId="53" builtinId="23" customBuiltin="1"/>
    <cellStyle name="Check Cell 2" xfId="54"/>
    <cellStyle name="Comma" xfId="55" builtinId="3"/>
    <cellStyle name="Comma 2" xfId="56"/>
    <cellStyle name="Comma 2 2" xfId="57"/>
    <cellStyle name="Comma 2 3" xfId="58"/>
    <cellStyle name="Comma 2 3 2" xfId="59"/>
    <cellStyle name="Comma 2 4" xfId="60"/>
    <cellStyle name="Comma 2 4 2" xfId="61"/>
    <cellStyle name="Comma 3" xfId="62"/>
    <cellStyle name="Comma 4" xfId="63"/>
    <cellStyle name="Comma 4 2" xfId="64"/>
    <cellStyle name="Comma 4 2 2" xfId="122"/>
    <cellStyle name="Comma 4 3" xfId="65"/>
    <cellStyle name="Comma 5" xfId="66"/>
    <cellStyle name="Comma 5 2" xfId="67"/>
    <cellStyle name="Currency" xfId="68" builtinId="4"/>
    <cellStyle name="Currency 2" xfId="69"/>
    <cellStyle name="Currency 2 2" xfId="70"/>
    <cellStyle name="Currency 2 3" xfId="71"/>
    <cellStyle name="Currency 2 3 2" xfId="72"/>
    <cellStyle name="Currency 2 4" xfId="73"/>
    <cellStyle name="Currency 2 4 2" xfId="74"/>
    <cellStyle name="Currency 3" xfId="75"/>
    <cellStyle name="Currency 4" xfId="76"/>
    <cellStyle name="Currency 4 2" xfId="77"/>
    <cellStyle name="Currency 5" xfId="78"/>
    <cellStyle name="Currency 5 2" xfId="79"/>
    <cellStyle name="Explanatory Text" xfId="80" builtinId="53" customBuiltin="1"/>
    <cellStyle name="Explanatory Text 2" xfId="81"/>
    <cellStyle name="Good" xfId="82" builtinId="26" customBuiltin="1"/>
    <cellStyle name="Good 2" xfId="83"/>
    <cellStyle name="Heading 1" xfId="84" builtinId="16" customBuiltin="1"/>
    <cellStyle name="Heading 1 2" xfId="85"/>
    <cellStyle name="Heading 2" xfId="86" builtinId="17" customBuiltin="1"/>
    <cellStyle name="Heading 2 2" xfId="87"/>
    <cellStyle name="Heading 3" xfId="88" builtinId="18" customBuiltin="1"/>
    <cellStyle name="Heading 3 2" xfId="89"/>
    <cellStyle name="Heading 4" xfId="90" builtinId="19" customBuiltin="1"/>
    <cellStyle name="Heading 4 2" xfId="91"/>
    <cellStyle name="Input" xfId="92" builtinId="20" customBuiltin="1"/>
    <cellStyle name="Input 2" xfId="93"/>
    <cellStyle name="Linked Cell" xfId="94" builtinId="24" customBuiltin="1"/>
    <cellStyle name="Linked Cell 2" xfId="95"/>
    <cellStyle name="Neutral" xfId="96" builtinId="28" customBuiltin="1"/>
    <cellStyle name="Neutral 2" xfId="97"/>
    <cellStyle name="Normal" xfId="0" builtinId="0"/>
    <cellStyle name="Normal 2" xfId="98"/>
    <cellStyle name="Normal 2 2" xfId="99"/>
    <cellStyle name="Normal 2 2 2" xfId="123"/>
    <cellStyle name="Note" xfId="100" builtinId="10" customBuiltin="1"/>
    <cellStyle name="Note 2" xfId="101"/>
    <cellStyle name="Note 2 2" xfId="124"/>
    <cellStyle name="Output" xfId="102" builtinId="21" customBuiltin="1"/>
    <cellStyle name="Output 2" xfId="103"/>
    <cellStyle name="Title" xfId="104" builtinId="15" customBuiltin="1"/>
    <cellStyle name="Title 2" xfId="105"/>
    <cellStyle name="Total" xfId="106" builtinId="25" customBuiltin="1"/>
    <cellStyle name="Total 2" xfId="107"/>
    <cellStyle name="Warning Text" xfId="108" builtinId="11" customBuiltin="1"/>
    <cellStyle name="Warning Text 2" xfId="109"/>
  </cellStyles>
  <dxfs count="2">
    <dxf>
      <font>
        <color theme="1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8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CC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69B8"/>
      <color rgb="FFFFFF89"/>
      <color rgb="FFCCE9AD"/>
      <color rgb="FFBEE395"/>
      <color rgb="FF0088EE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70"/>
  <sheetViews>
    <sheetView zoomScale="70" zoomScaleNormal="70" workbookViewId="0">
      <selection activeCell="F1" sqref="F1:F2"/>
    </sheetView>
  </sheetViews>
  <sheetFormatPr defaultColWidth="0" defaultRowHeight="12.75" zeroHeight="1"/>
  <cols>
    <col min="1" max="1" width="14.28515625" style="7" customWidth="1"/>
    <col min="2" max="9" width="21.7109375" style="7" customWidth="1"/>
    <col min="10" max="10" width="21.7109375" style="43" customWidth="1"/>
    <col min="11" max="11" width="21.7109375" style="6" customWidth="1"/>
    <col min="12" max="12" width="21.7109375" style="43" customWidth="1"/>
    <col min="13" max="15" width="21.7109375" style="7" customWidth="1"/>
    <col min="16" max="16384" width="9.140625" style="2" hidden="1"/>
  </cols>
  <sheetData>
    <row r="1" spans="1:15" ht="15.75" customHeight="1">
      <c r="A1" s="63" t="s">
        <v>45</v>
      </c>
      <c r="B1" s="64"/>
      <c r="C1" s="64"/>
      <c r="D1" s="65"/>
      <c r="E1" s="61" t="s">
        <v>47</v>
      </c>
      <c r="F1" s="101"/>
      <c r="G1" s="61" t="s">
        <v>46</v>
      </c>
      <c r="H1" s="103"/>
      <c r="I1" s="104"/>
      <c r="J1" s="63" t="s">
        <v>61</v>
      </c>
      <c r="K1" s="64"/>
      <c r="L1" s="65"/>
      <c r="M1" s="59" t="str">
        <f>IF(ISBLANK($O$1),"(Enter for weekly balancing on J36) -&gt;","Weekly Manual Entry for Balancing:")</f>
        <v>(Enter for weekly balancing on J36) -&gt;</v>
      </c>
      <c r="N1" s="59"/>
      <c r="O1" s="97"/>
    </row>
    <row r="2" spans="1:15" ht="13.5" customHeight="1" thickBot="1">
      <c r="A2" s="55"/>
      <c r="B2" s="56"/>
      <c r="C2" s="58"/>
      <c r="D2" s="66"/>
      <c r="E2" s="62"/>
      <c r="F2" s="102"/>
      <c r="G2" s="62"/>
      <c r="H2" s="105"/>
      <c r="I2" s="106"/>
      <c r="J2" s="57"/>
      <c r="K2" s="58"/>
      <c r="L2" s="66"/>
      <c r="M2" s="60"/>
      <c r="N2" s="60"/>
      <c r="O2" s="98"/>
    </row>
    <row r="3" spans="1:15" ht="21" customHeight="1" thickBot="1">
      <c r="A3" s="81" t="s">
        <v>0</v>
      </c>
      <c r="B3" s="81" t="s">
        <v>2</v>
      </c>
      <c r="C3" s="8" t="s">
        <v>16</v>
      </c>
      <c r="D3" s="46" t="s">
        <v>8</v>
      </c>
      <c r="E3" s="47"/>
      <c r="F3" s="8" t="s">
        <v>24</v>
      </c>
      <c r="G3" s="8" t="s">
        <v>24</v>
      </c>
      <c r="H3" s="8" t="s">
        <v>11</v>
      </c>
      <c r="I3" s="44" t="s">
        <v>11</v>
      </c>
      <c r="J3" s="46" t="s">
        <v>7</v>
      </c>
      <c r="K3" s="47"/>
      <c r="L3" s="47"/>
      <c r="M3" s="52" t="s">
        <v>59</v>
      </c>
      <c r="N3" s="49" t="s">
        <v>23</v>
      </c>
      <c r="O3" s="50"/>
    </row>
    <row r="4" spans="1:15" ht="13.5" customHeight="1" thickBot="1">
      <c r="A4" s="95"/>
      <c r="B4" s="95"/>
      <c r="C4" s="87" t="s">
        <v>3</v>
      </c>
      <c r="D4" s="87" t="s">
        <v>3</v>
      </c>
      <c r="E4" s="87" t="s">
        <v>4</v>
      </c>
      <c r="F4" s="87" t="s">
        <v>25</v>
      </c>
      <c r="G4" s="87" t="s">
        <v>26</v>
      </c>
      <c r="H4" s="87" t="s">
        <v>10</v>
      </c>
      <c r="I4" s="84" t="s">
        <v>9</v>
      </c>
      <c r="J4" s="91" t="s">
        <v>5</v>
      </c>
      <c r="K4" s="91" t="s">
        <v>4</v>
      </c>
      <c r="L4" s="92" t="s">
        <v>6</v>
      </c>
      <c r="M4" s="53"/>
      <c r="N4" s="99" t="s">
        <v>21</v>
      </c>
      <c r="O4" s="99" t="s">
        <v>22</v>
      </c>
    </row>
    <row r="5" spans="1:15" ht="15" thickBot="1">
      <c r="A5" s="82"/>
      <c r="B5" s="82"/>
      <c r="C5" s="88"/>
      <c r="D5" s="88"/>
      <c r="E5" s="88"/>
      <c r="F5" s="88"/>
      <c r="G5" s="88"/>
      <c r="H5" s="88"/>
      <c r="I5" s="85"/>
      <c r="J5" s="90" t="s">
        <v>18</v>
      </c>
      <c r="K5" s="90" t="s">
        <v>19</v>
      </c>
      <c r="L5" s="90" t="s">
        <v>20</v>
      </c>
      <c r="M5" s="54"/>
      <c r="N5" s="100"/>
      <c r="O5" s="100"/>
    </row>
    <row r="6" spans="1:15">
      <c r="A6" s="94" t="str">
        <f>IF(ISBLANK($H$1),"",$H$1+ROW(A6)-6)</f>
        <v/>
      </c>
      <c r="B6" s="93">
        <v>0</v>
      </c>
      <c r="C6" s="83"/>
      <c r="D6" s="89"/>
      <c r="E6" s="89"/>
      <c r="F6" s="86"/>
      <c r="G6" s="86"/>
      <c r="H6" s="86"/>
      <c r="I6" s="83"/>
      <c r="J6" s="83"/>
      <c r="K6" s="83"/>
      <c r="L6" s="83"/>
      <c r="M6" s="19">
        <f>SUM(B6:I6)-SUM(J6:L6)</f>
        <v>0</v>
      </c>
      <c r="N6" s="26">
        <f>SUM(B6:I6)-J6-K6-L6-M6</f>
        <v>0</v>
      </c>
      <c r="O6" s="26"/>
    </row>
    <row r="7" spans="1:15">
      <c r="A7" s="3" t="str">
        <f>IF($A6="","",$A6+1)</f>
        <v/>
      </c>
      <c r="B7" s="21">
        <f>M6</f>
        <v>0</v>
      </c>
      <c r="C7" s="33"/>
      <c r="D7" s="35"/>
      <c r="E7" s="33"/>
      <c r="F7" s="33"/>
      <c r="G7" s="33"/>
      <c r="H7" s="33"/>
      <c r="I7" s="33"/>
      <c r="J7" s="34"/>
      <c r="K7" s="34"/>
      <c r="L7" s="35"/>
      <c r="M7" s="20">
        <f>SUM(B7:I7)-SUM(J7:L7)</f>
        <v>0</v>
      </c>
      <c r="N7" s="26">
        <f>SUM(B7:I7)-J7-K7-L7-M7</f>
        <v>0</v>
      </c>
      <c r="O7" s="26"/>
    </row>
    <row r="8" spans="1:15">
      <c r="A8" s="3" t="str">
        <f t="shared" ref="A8:A16" si="0">IF($A7="","",$A7+1)</f>
        <v/>
      </c>
      <c r="B8" s="21">
        <f>M7</f>
        <v>0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20">
        <f>SUM(B8:I8)-SUM(J8:L8)</f>
        <v>0</v>
      </c>
      <c r="N8" s="26">
        <f>SUM(B8:I8)-J8-K8-L8-M8</f>
        <v>0</v>
      </c>
      <c r="O8" s="26"/>
    </row>
    <row r="9" spans="1:15">
      <c r="A9" s="3" t="str">
        <f t="shared" si="0"/>
        <v/>
      </c>
      <c r="B9" s="21">
        <f>M8</f>
        <v>0</v>
      </c>
      <c r="C9" s="33"/>
      <c r="D9" s="33"/>
      <c r="E9" s="33"/>
      <c r="F9" s="33"/>
      <c r="G9" s="33"/>
      <c r="H9" s="33"/>
      <c r="I9" s="33"/>
      <c r="J9" s="33"/>
      <c r="K9" s="36"/>
      <c r="L9" s="33"/>
      <c r="M9" s="20">
        <f>SUM(B9:I9)-SUM(J9:L9)</f>
        <v>0</v>
      </c>
      <c r="N9" s="26">
        <f>SUM(B9:I9)-J9-K9-L9-M9</f>
        <v>0</v>
      </c>
      <c r="O9" s="26"/>
    </row>
    <row r="10" spans="1:15">
      <c r="A10" s="3" t="str">
        <f t="shared" si="0"/>
        <v/>
      </c>
      <c r="B10" s="21">
        <f>M9</f>
        <v>0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20">
        <f>SUM(B10:I10)-SUM(J10:L10)</f>
        <v>0</v>
      </c>
      <c r="N10" s="26">
        <f t="shared" ref="N10:N17" si="1">SUM(B10:I10)-J10-K10-L10-M10</f>
        <v>0</v>
      </c>
      <c r="O10" s="26"/>
    </row>
    <row r="11" spans="1:15" s="25" customFormat="1" ht="15">
      <c r="A11" s="22" t="s">
        <v>1</v>
      </c>
      <c r="B11" s="23">
        <f>B6</f>
        <v>0</v>
      </c>
      <c r="C11" s="23">
        <f t="shared" ref="C11:I11" si="2">SUM(C6:C10)</f>
        <v>0</v>
      </c>
      <c r="D11" s="23">
        <f t="shared" si="2"/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>SUM(J6:J10)</f>
        <v>0</v>
      </c>
      <c r="K11" s="23">
        <f>SUM(K6:K10)</f>
        <v>0</v>
      </c>
      <c r="L11" s="23">
        <f>SUM(L6:L10)</f>
        <v>0</v>
      </c>
      <c r="M11" s="23">
        <f>M10</f>
        <v>0</v>
      </c>
      <c r="N11" s="24">
        <f t="shared" si="1"/>
        <v>0</v>
      </c>
      <c r="O11" s="24">
        <f>B11-N11</f>
        <v>0</v>
      </c>
    </row>
    <row r="12" spans="1:15">
      <c r="A12" s="3" t="str">
        <f>IF($A10="","",$A10+3)</f>
        <v/>
      </c>
      <c r="B12" s="21">
        <f>M11</f>
        <v>0</v>
      </c>
      <c r="C12" s="37"/>
      <c r="D12" s="33"/>
      <c r="E12" s="38"/>
      <c r="F12" s="37"/>
      <c r="G12" s="37"/>
      <c r="H12" s="33"/>
      <c r="I12" s="38"/>
      <c r="J12" s="39"/>
      <c r="K12" s="39"/>
      <c r="L12" s="34"/>
      <c r="M12" s="20">
        <f>SUM(B12:I12)-SUM(J12:L12)</f>
        <v>0</v>
      </c>
      <c r="N12" s="26">
        <f>SUM(B12:I12)-J12-K12-L12-M12</f>
        <v>0</v>
      </c>
      <c r="O12" s="26"/>
    </row>
    <row r="13" spans="1:15">
      <c r="A13" s="3" t="str">
        <f t="shared" si="0"/>
        <v/>
      </c>
      <c r="B13" s="21">
        <f>M12</f>
        <v>0</v>
      </c>
      <c r="C13" s="37"/>
      <c r="D13" s="33"/>
      <c r="E13" s="38"/>
      <c r="F13" s="37"/>
      <c r="G13" s="37"/>
      <c r="H13" s="33"/>
      <c r="I13" s="38"/>
      <c r="J13" s="33"/>
      <c r="K13" s="33"/>
      <c r="L13" s="33"/>
      <c r="M13" s="20">
        <f>SUM(B13:I13)-SUM(J13:L13)</f>
        <v>0</v>
      </c>
      <c r="N13" s="26">
        <f>SUM(B13:I13)-J13-K13-L13-M13</f>
        <v>0</v>
      </c>
      <c r="O13" s="26"/>
    </row>
    <row r="14" spans="1:15">
      <c r="A14" s="3" t="str">
        <f t="shared" si="0"/>
        <v/>
      </c>
      <c r="B14" s="21">
        <f>M13</f>
        <v>0</v>
      </c>
      <c r="C14" s="33"/>
      <c r="D14" s="33"/>
      <c r="E14" s="33"/>
      <c r="F14" s="34"/>
      <c r="G14" s="35"/>
      <c r="H14" s="33"/>
      <c r="I14" s="33"/>
      <c r="J14" s="33"/>
      <c r="K14" s="33"/>
      <c r="L14" s="33"/>
      <c r="M14" s="20">
        <f>SUM(B14:I14)-SUM(J14:L14)</f>
        <v>0</v>
      </c>
      <c r="N14" s="26">
        <f t="shared" si="1"/>
        <v>0</v>
      </c>
      <c r="O14" s="26"/>
    </row>
    <row r="15" spans="1:15">
      <c r="A15" s="3" t="str">
        <f t="shared" si="0"/>
        <v/>
      </c>
      <c r="B15" s="21">
        <f>M14</f>
        <v>0</v>
      </c>
      <c r="C15" s="35"/>
      <c r="D15" s="34"/>
      <c r="E15" s="35"/>
      <c r="F15" s="33"/>
      <c r="G15" s="33"/>
      <c r="H15" s="39"/>
      <c r="I15" s="34"/>
      <c r="J15" s="33"/>
      <c r="K15" s="33"/>
      <c r="L15" s="33"/>
      <c r="M15" s="20">
        <f>SUM(B15:I15)-SUM(J15:L15)</f>
        <v>0</v>
      </c>
      <c r="N15" s="26">
        <f t="shared" si="1"/>
        <v>0</v>
      </c>
      <c r="O15" s="26"/>
    </row>
    <row r="16" spans="1:15">
      <c r="A16" s="3" t="str">
        <f t="shared" si="0"/>
        <v/>
      </c>
      <c r="B16" s="21">
        <f>M15</f>
        <v>0</v>
      </c>
      <c r="C16" s="33"/>
      <c r="D16" s="35"/>
      <c r="E16" s="33"/>
      <c r="F16" s="33"/>
      <c r="G16" s="33"/>
      <c r="H16" s="33"/>
      <c r="I16" s="33"/>
      <c r="J16" s="33"/>
      <c r="K16" s="33"/>
      <c r="L16" s="33"/>
      <c r="M16" s="20">
        <f>SUM(B16:I16)-SUM(J16:L16)</f>
        <v>0</v>
      </c>
      <c r="N16" s="26">
        <f t="shared" si="1"/>
        <v>0</v>
      </c>
      <c r="O16" s="26"/>
    </row>
    <row r="17" spans="1:15" s="25" customFormat="1" ht="15">
      <c r="A17" s="22" t="s">
        <v>1</v>
      </c>
      <c r="B17" s="23">
        <f>M11</f>
        <v>0</v>
      </c>
      <c r="C17" s="23">
        <f t="shared" ref="C17:L17" si="3">SUM(C11:C16)</f>
        <v>0</v>
      </c>
      <c r="D17" s="23">
        <f t="shared" si="3"/>
        <v>0</v>
      </c>
      <c r="E17" s="23">
        <f t="shared" si="3"/>
        <v>0</v>
      </c>
      <c r="F17" s="23">
        <f t="shared" si="3"/>
        <v>0</v>
      </c>
      <c r="G17" s="23">
        <f t="shared" si="3"/>
        <v>0</v>
      </c>
      <c r="H17" s="23">
        <f t="shared" si="3"/>
        <v>0</v>
      </c>
      <c r="I17" s="23">
        <f t="shared" si="3"/>
        <v>0</v>
      </c>
      <c r="J17" s="23">
        <f t="shared" si="3"/>
        <v>0</v>
      </c>
      <c r="K17" s="23">
        <f t="shared" si="3"/>
        <v>0</v>
      </c>
      <c r="L17" s="23">
        <f t="shared" si="3"/>
        <v>0</v>
      </c>
      <c r="M17" s="23">
        <f>M16</f>
        <v>0</v>
      </c>
      <c r="N17" s="24">
        <f t="shared" si="1"/>
        <v>0</v>
      </c>
      <c r="O17" s="24">
        <f>B17-N17</f>
        <v>0</v>
      </c>
    </row>
    <row r="18" spans="1:15">
      <c r="A18" s="3" t="str">
        <f>IF($A16="","",$A16+3)</f>
        <v/>
      </c>
      <c r="B18" s="21">
        <f>M17</f>
        <v>0</v>
      </c>
      <c r="C18" s="33"/>
      <c r="D18" s="33"/>
      <c r="E18" s="33"/>
      <c r="F18" s="33"/>
      <c r="G18" s="33"/>
      <c r="H18" s="33"/>
      <c r="I18" s="35"/>
      <c r="J18" s="33"/>
      <c r="K18" s="33"/>
      <c r="L18" s="33"/>
      <c r="M18" s="20">
        <f>SUM(B18:I18)-SUM(J18:L18)</f>
        <v>0</v>
      </c>
      <c r="N18" s="26">
        <f>SUM(B18:I18)-J18-K18-L18-M18</f>
        <v>0</v>
      </c>
      <c r="O18" s="26"/>
    </row>
    <row r="19" spans="1:15">
      <c r="A19" s="3" t="str">
        <f>IF($A18="","",$A18+1)</f>
        <v/>
      </c>
      <c r="B19" s="21">
        <f>M18</f>
        <v>0</v>
      </c>
      <c r="C19" s="34"/>
      <c r="D19" s="34"/>
      <c r="E19" s="34"/>
      <c r="F19" s="34"/>
      <c r="G19" s="34"/>
      <c r="H19" s="34"/>
      <c r="I19" s="34"/>
      <c r="J19" s="35"/>
      <c r="K19" s="33"/>
      <c r="L19" s="35"/>
      <c r="M19" s="20">
        <f>SUM(B19:I19)-SUM(J19:L19)</f>
        <v>0</v>
      </c>
      <c r="N19" s="26">
        <f>SUM(B19:I19)-J19-K19-L19-M19</f>
        <v>0</v>
      </c>
      <c r="O19" s="26"/>
    </row>
    <row r="20" spans="1:15">
      <c r="A20" s="3" t="str">
        <f>IF($A19="","",$A19+1)</f>
        <v/>
      </c>
      <c r="B20" s="21">
        <f>M19</f>
        <v>0</v>
      </c>
      <c r="C20" s="33"/>
      <c r="D20" s="33"/>
      <c r="E20" s="33"/>
      <c r="F20" s="33"/>
      <c r="G20" s="33"/>
      <c r="H20" s="33"/>
      <c r="I20" s="35"/>
      <c r="J20" s="33"/>
      <c r="K20" s="33"/>
      <c r="L20" s="33"/>
      <c r="M20" s="20">
        <f>SUM(B20:I20)-SUM(J20:L20)</f>
        <v>0</v>
      </c>
      <c r="N20" s="26">
        <f t="shared" ref="N20:N27" si="4">SUM(B20:I20)-J20-K20-L20-M20</f>
        <v>0</v>
      </c>
      <c r="O20" s="26"/>
    </row>
    <row r="21" spans="1:15">
      <c r="A21" s="3" t="str">
        <f>IF($A20="","",$A20+1)</f>
        <v/>
      </c>
      <c r="B21" s="21">
        <f>M20</f>
        <v>0</v>
      </c>
      <c r="C21" s="33"/>
      <c r="D21" s="40"/>
      <c r="E21" s="33"/>
      <c r="F21" s="33"/>
      <c r="G21" s="33"/>
      <c r="H21" s="33"/>
      <c r="I21" s="33"/>
      <c r="J21" s="34"/>
      <c r="K21" s="33"/>
      <c r="L21" s="33"/>
      <c r="M21" s="20">
        <f>SUM(B21:I21)-SUM(J21:L21)</f>
        <v>0</v>
      </c>
      <c r="N21" s="26">
        <f t="shared" si="4"/>
        <v>0</v>
      </c>
      <c r="O21" s="26"/>
    </row>
    <row r="22" spans="1:15">
      <c r="A22" s="3" t="str">
        <f>IF($A21="","",$A21+1)</f>
        <v/>
      </c>
      <c r="B22" s="21">
        <f>M21</f>
        <v>0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20">
        <f>SUM(B22:I22)-SUM(J22:L22)</f>
        <v>0</v>
      </c>
      <c r="N22" s="26">
        <f t="shared" si="4"/>
        <v>0</v>
      </c>
      <c r="O22" s="26"/>
    </row>
    <row r="23" spans="1:15" s="25" customFormat="1" ht="15">
      <c r="A23" s="22" t="s">
        <v>1</v>
      </c>
      <c r="B23" s="23">
        <f>M17</f>
        <v>0</v>
      </c>
      <c r="C23" s="23">
        <f>SUM(C17:C22)</f>
        <v>0</v>
      </c>
      <c r="D23" s="23">
        <f t="shared" ref="D23:L23" si="5">SUM(D17:D22)</f>
        <v>0</v>
      </c>
      <c r="E23" s="23">
        <f>SUM(E17:E22)</f>
        <v>0</v>
      </c>
      <c r="F23" s="23">
        <f>SUM(F17:F22)</f>
        <v>0</v>
      </c>
      <c r="G23" s="23">
        <f>SUM(G17:G22)</f>
        <v>0</v>
      </c>
      <c r="H23" s="23">
        <f>SUM(H17:H22)</f>
        <v>0</v>
      </c>
      <c r="I23" s="23">
        <f t="shared" si="5"/>
        <v>0</v>
      </c>
      <c r="J23" s="23">
        <f t="shared" si="5"/>
        <v>0</v>
      </c>
      <c r="K23" s="23">
        <f t="shared" si="5"/>
        <v>0</v>
      </c>
      <c r="L23" s="23">
        <f t="shared" si="5"/>
        <v>0</v>
      </c>
      <c r="M23" s="23">
        <f>M22</f>
        <v>0</v>
      </c>
      <c r="N23" s="24">
        <f t="shared" si="4"/>
        <v>0</v>
      </c>
      <c r="O23" s="24">
        <f>B23-N23</f>
        <v>0</v>
      </c>
    </row>
    <row r="24" spans="1:15">
      <c r="A24" s="3" t="str">
        <f>IF($A22="","",$A22+3)</f>
        <v/>
      </c>
      <c r="B24" s="21">
        <f>M23</f>
        <v>0</v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20">
        <f>SUM(B24:I24)-SUM(J24:L24)</f>
        <v>0</v>
      </c>
      <c r="N24" s="26">
        <f t="shared" si="4"/>
        <v>0</v>
      </c>
      <c r="O24" s="26"/>
    </row>
    <row r="25" spans="1:15">
      <c r="A25" s="3" t="str">
        <f>IF($A24="","",$A24+1)</f>
        <v/>
      </c>
      <c r="B25" s="21">
        <f>M24</f>
        <v>0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20">
        <f>SUM(B25:I25)-SUM(J25:L25)</f>
        <v>0</v>
      </c>
      <c r="N25" s="26">
        <f t="shared" si="4"/>
        <v>0</v>
      </c>
      <c r="O25" s="26"/>
    </row>
    <row r="26" spans="1:15">
      <c r="A26" s="3" t="str">
        <f>IF($A25="","",$A25+1)</f>
        <v/>
      </c>
      <c r="B26" s="21">
        <f>M25</f>
        <v>0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20">
        <f>SUM(B26:I26)-SUM(J26:L26)</f>
        <v>0</v>
      </c>
      <c r="N26" s="26">
        <f t="shared" si="4"/>
        <v>0</v>
      </c>
      <c r="O26" s="26"/>
    </row>
    <row r="27" spans="1:15" ht="14.25" customHeight="1">
      <c r="A27" s="3" t="str">
        <f>IF($A26="","",$A26+1)</f>
        <v/>
      </c>
      <c r="B27" s="21">
        <f>M26</f>
        <v>0</v>
      </c>
      <c r="C27" s="33"/>
      <c r="D27" s="33"/>
      <c r="E27" s="33"/>
      <c r="F27" s="33"/>
      <c r="G27" s="33"/>
      <c r="H27" s="33"/>
      <c r="I27" s="33"/>
      <c r="J27" s="33"/>
      <c r="K27" s="34"/>
      <c r="L27" s="33"/>
      <c r="M27" s="20">
        <f>SUM(B27:I27)-SUM(J27:L27)</f>
        <v>0</v>
      </c>
      <c r="N27" s="26">
        <f t="shared" si="4"/>
        <v>0</v>
      </c>
      <c r="O27" s="26"/>
    </row>
    <row r="28" spans="1:15" ht="13.5" customHeight="1">
      <c r="A28" s="3" t="str">
        <f>IF($A27="","",$A27+1)</f>
        <v/>
      </c>
      <c r="B28" s="21">
        <f>M27</f>
        <v>0</v>
      </c>
      <c r="C28" s="33"/>
      <c r="D28" s="33"/>
      <c r="E28" s="33"/>
      <c r="F28" s="33"/>
      <c r="G28" s="33"/>
      <c r="H28" s="33"/>
      <c r="I28" s="33"/>
      <c r="J28" s="33"/>
      <c r="K28" s="34"/>
      <c r="L28" s="34"/>
      <c r="M28" s="20">
        <f>SUM(B28:I28)-SUM(J28:L28)</f>
        <v>0</v>
      </c>
      <c r="N28" s="26">
        <f>SUM(B28:I28)-J28-K28-L28-M28</f>
        <v>0</v>
      </c>
      <c r="O28" s="26"/>
    </row>
    <row r="29" spans="1:15" s="25" customFormat="1" ht="15">
      <c r="A29" s="22" t="s">
        <v>1</v>
      </c>
      <c r="B29" s="23">
        <f>M23</f>
        <v>0</v>
      </c>
      <c r="C29" s="23">
        <f t="shared" ref="C29:L29" si="6">SUM(C23:C28)</f>
        <v>0</v>
      </c>
      <c r="D29" s="23">
        <f t="shared" si="6"/>
        <v>0</v>
      </c>
      <c r="E29" s="23">
        <f t="shared" si="6"/>
        <v>0</v>
      </c>
      <c r="F29" s="23">
        <f t="shared" si="6"/>
        <v>0</v>
      </c>
      <c r="G29" s="23">
        <f t="shared" si="6"/>
        <v>0</v>
      </c>
      <c r="H29" s="23">
        <f t="shared" si="6"/>
        <v>0</v>
      </c>
      <c r="I29" s="23">
        <f t="shared" si="6"/>
        <v>0</v>
      </c>
      <c r="J29" s="23">
        <f t="shared" si="6"/>
        <v>0</v>
      </c>
      <c r="K29" s="23">
        <f>SUM(K23:K28)</f>
        <v>0</v>
      </c>
      <c r="L29" s="23">
        <f t="shared" si="6"/>
        <v>0</v>
      </c>
      <c r="M29" s="23">
        <f>M28</f>
        <v>0</v>
      </c>
      <c r="N29" s="24">
        <f>SUM(B29:I29)-J29-K29-L29-M29</f>
        <v>0</v>
      </c>
      <c r="O29" s="24">
        <f>B29-N29</f>
        <v>0</v>
      </c>
    </row>
    <row r="30" spans="1:15">
      <c r="A30" s="3" t="str">
        <f>IF(OR($A28="",$F$1=4),"",$A28+3)</f>
        <v/>
      </c>
      <c r="B30" s="21" t="str">
        <f>IF($A30="","",M29)</f>
        <v/>
      </c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20">
        <f>SUM(B30:I30)-SUM(J30:L30)</f>
        <v>0</v>
      </c>
      <c r="N30" s="26">
        <f>SUM(B30:I30)-J30-K30-L30-M30</f>
        <v>0</v>
      </c>
      <c r="O30" s="26"/>
    </row>
    <row r="31" spans="1:15">
      <c r="A31" s="3" t="str">
        <f>IF(OR($A30="",$F$1=4),"",$A30+1)</f>
        <v/>
      </c>
      <c r="B31" s="21" t="str">
        <f t="shared" ref="B31:B34" si="7">IF($A31="","",M30)</f>
        <v/>
      </c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20">
        <f>SUM(B31:I31)-SUM(J31:L31)</f>
        <v>0</v>
      </c>
      <c r="N31" s="26">
        <f>SUM(B31:I31)-J31-K31-L31-M31</f>
        <v>0</v>
      </c>
      <c r="O31" s="26"/>
    </row>
    <row r="32" spans="1:15">
      <c r="A32" s="3" t="str">
        <f t="shared" ref="A32:A34" si="8">IF(OR($A31="",$F$1=4),"",$A31+1)</f>
        <v/>
      </c>
      <c r="B32" s="21" t="str">
        <f t="shared" si="7"/>
        <v/>
      </c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20">
        <f>SUM(B32:I32)-SUM(J32:L32)</f>
        <v>0</v>
      </c>
      <c r="N32" s="26">
        <f>SUM(B32:I32)-J32-K32-L32-M32</f>
        <v>0</v>
      </c>
      <c r="O32" s="26"/>
    </row>
    <row r="33" spans="1:15">
      <c r="A33" s="3" t="str">
        <f t="shared" si="8"/>
        <v/>
      </c>
      <c r="B33" s="21" t="str">
        <f t="shared" si="7"/>
        <v/>
      </c>
      <c r="C33" s="33"/>
      <c r="D33" s="33"/>
      <c r="E33" s="33"/>
      <c r="F33" s="33"/>
      <c r="G33" s="33"/>
      <c r="H33" s="33"/>
      <c r="I33" s="33"/>
      <c r="J33" s="33"/>
      <c r="K33" s="34"/>
      <c r="L33" s="33"/>
      <c r="M33" s="20">
        <f>SUM(B33:I33)-SUM(J33:L33)</f>
        <v>0</v>
      </c>
      <c r="N33" s="26">
        <f>SUM(B33:I33)-J33-K33-L33-M33</f>
        <v>0</v>
      </c>
      <c r="O33" s="26"/>
    </row>
    <row r="34" spans="1:15">
      <c r="A34" s="3" t="str">
        <f t="shared" si="8"/>
        <v/>
      </c>
      <c r="B34" s="21" t="str">
        <f t="shared" si="7"/>
        <v/>
      </c>
      <c r="C34" s="33"/>
      <c r="D34" s="33"/>
      <c r="E34" s="33"/>
      <c r="F34" s="33"/>
      <c r="G34" s="33"/>
      <c r="H34" s="33"/>
      <c r="I34" s="33"/>
      <c r="J34" s="34"/>
      <c r="K34" s="34"/>
      <c r="L34" s="35"/>
      <c r="M34" s="20">
        <f>SUM(B34:I34)-SUM(J34:L34)</f>
        <v>0</v>
      </c>
      <c r="N34" s="26">
        <f>SUM(B34:I34)-J34-K34-L34-M34</f>
        <v>0</v>
      </c>
      <c r="O34" s="26"/>
    </row>
    <row r="35" spans="1:15" s="25" customFormat="1" ht="15">
      <c r="A35" s="22" t="s">
        <v>1</v>
      </c>
      <c r="B35" s="23">
        <f>M29</f>
        <v>0</v>
      </c>
      <c r="C35" s="23">
        <f t="shared" ref="C35:L35" si="9">SUM(C29:C34)</f>
        <v>0</v>
      </c>
      <c r="D35" s="23">
        <f t="shared" si="9"/>
        <v>0</v>
      </c>
      <c r="E35" s="23">
        <f t="shared" si="9"/>
        <v>0</v>
      </c>
      <c r="F35" s="23">
        <f t="shared" si="9"/>
        <v>0</v>
      </c>
      <c r="G35" s="23">
        <f t="shared" si="9"/>
        <v>0</v>
      </c>
      <c r="H35" s="23">
        <f t="shared" si="9"/>
        <v>0</v>
      </c>
      <c r="I35" s="23">
        <f t="shared" si="9"/>
        <v>0</v>
      </c>
      <c r="J35" s="23">
        <f t="shared" si="9"/>
        <v>0</v>
      </c>
      <c r="K35" s="23">
        <f>SUM(K29:K34)</f>
        <v>0</v>
      </c>
      <c r="L35" s="23">
        <f t="shared" si="9"/>
        <v>0</v>
      </c>
      <c r="M35" s="23">
        <f>M34</f>
        <v>0</v>
      </c>
      <c r="N35" s="24">
        <f>SUM(B35:I35)-J35-K35-L35-M35</f>
        <v>0</v>
      </c>
      <c r="O35" s="24">
        <f>B35-N35</f>
        <v>0</v>
      </c>
    </row>
    <row r="36" spans="1:15">
      <c r="A36" s="3"/>
      <c r="B36" s="21">
        <f>M35</f>
        <v>0</v>
      </c>
      <c r="C36" s="21"/>
      <c r="D36" s="21"/>
      <c r="E36" s="21"/>
      <c r="F36" s="21"/>
      <c r="G36" s="21"/>
      <c r="H36" s="30" t="str">
        <f>IF(COUNTA(L41:L50)&gt;0,SUM(L41:L70),"(outstanding cc's)")</f>
        <v>(outstanding cc's)</v>
      </c>
      <c r="I36" s="21"/>
      <c r="J36" s="32" t="str">
        <f>IF(ISBLANK($O$1),"(weekly balance)",SUM(A41:A70)+O1)</f>
        <v>(weekly balance)</v>
      </c>
      <c r="K36" s="31"/>
      <c r="L36" s="31"/>
      <c r="M36" s="21">
        <f>(SUM(B36:I36)-SUM(J36:L36))</f>
        <v>0</v>
      </c>
      <c r="N36" s="26"/>
      <c r="O36" s="26"/>
    </row>
    <row r="37" spans="1:15" s="25" customFormat="1" ht="15">
      <c r="A37" s="22" t="s">
        <v>1</v>
      </c>
      <c r="B37" s="23">
        <f>M36</f>
        <v>0</v>
      </c>
      <c r="C37" s="23">
        <f>C35</f>
        <v>0</v>
      </c>
      <c r="D37" s="23">
        <f t="shared" ref="D37:L37" si="10">D35</f>
        <v>0</v>
      </c>
      <c r="E37" s="23">
        <f t="shared" si="10"/>
        <v>0</v>
      </c>
      <c r="F37" s="23">
        <f t="shared" si="10"/>
        <v>0</v>
      </c>
      <c r="G37" s="23">
        <f t="shared" si="10"/>
        <v>0</v>
      </c>
      <c r="H37" s="23">
        <f t="shared" si="10"/>
        <v>0</v>
      </c>
      <c r="I37" s="23">
        <f t="shared" si="10"/>
        <v>0</v>
      </c>
      <c r="J37" s="23">
        <f t="shared" si="10"/>
        <v>0</v>
      </c>
      <c r="K37" s="23">
        <f t="shared" si="10"/>
        <v>0</v>
      </c>
      <c r="L37" s="23">
        <f t="shared" si="10"/>
        <v>0</v>
      </c>
      <c r="M37" s="23">
        <f>M36</f>
        <v>0</v>
      </c>
      <c r="N37" s="24">
        <f>SUM(B37:I37)-J37-K37-L37-M37</f>
        <v>0</v>
      </c>
      <c r="O37" s="24">
        <f>B37-N37</f>
        <v>0</v>
      </c>
    </row>
    <row r="38" spans="1:15" ht="13.5" thickBot="1">
      <c r="A38" s="48" t="s">
        <v>17</v>
      </c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</row>
    <row r="39" spans="1:15" ht="21" thickBot="1">
      <c r="A39" s="49" t="str">
        <f>IF(ISBLANK($H$1),"(ENTER FIRST MONDAY ABOVE)","Previous Outstanding ACH ("&amp; TEXT($H$1-DAY($H$1)-14,"MMMM") &amp; ")")</f>
        <v>(ENTER FIRST MONDAY ABOVE)</v>
      </c>
      <c r="B39" s="51"/>
      <c r="C39" s="51"/>
      <c r="D39" s="50"/>
      <c r="E39" s="45"/>
      <c r="F39" s="49" t="str">
        <f>IF(ISBLANK($H$1),"(ENTER FIRST MONDAY ABOVE)","Current Outstanding ACH ("&amp; TEXT($H$1+14,"MMMM")&amp;")")</f>
        <v>(ENTER FIRST MONDAY ABOVE)</v>
      </c>
      <c r="G39" s="51"/>
      <c r="H39" s="51"/>
      <c r="I39" s="50"/>
      <c r="J39" s="45"/>
      <c r="K39" s="49" t="s">
        <v>42</v>
      </c>
      <c r="L39" s="51"/>
      <c r="M39" s="50"/>
      <c r="N39" s="45"/>
      <c r="O39" s="45"/>
    </row>
    <row r="40" spans="1:15" ht="15.75" thickBot="1">
      <c r="A40" s="96" t="s">
        <v>34</v>
      </c>
      <c r="B40" s="96" t="s">
        <v>39</v>
      </c>
      <c r="C40" s="96" t="s">
        <v>40</v>
      </c>
      <c r="D40" s="96" t="s">
        <v>41</v>
      </c>
      <c r="E40" s="45"/>
      <c r="F40" s="96" t="s">
        <v>34</v>
      </c>
      <c r="G40" s="96" t="s">
        <v>39</v>
      </c>
      <c r="H40" s="96" t="s">
        <v>40</v>
      </c>
      <c r="I40" s="96" t="s">
        <v>41</v>
      </c>
      <c r="J40" s="45"/>
      <c r="K40" s="96" t="s">
        <v>43</v>
      </c>
      <c r="L40" s="96" t="s">
        <v>34</v>
      </c>
      <c r="M40" s="96" t="s">
        <v>44</v>
      </c>
      <c r="N40" s="45"/>
      <c r="O40" s="45"/>
    </row>
    <row r="41" spans="1:15">
      <c r="A41" s="107"/>
      <c r="B41" s="108"/>
      <c r="C41" s="108"/>
      <c r="D41" s="109"/>
      <c r="E41" s="45"/>
      <c r="F41" s="107"/>
      <c r="G41" s="108"/>
      <c r="H41" s="108"/>
      <c r="I41" s="109"/>
      <c r="J41" s="45"/>
      <c r="K41" s="113"/>
      <c r="L41" s="40"/>
      <c r="M41" s="109"/>
      <c r="N41" s="45"/>
      <c r="O41" s="45"/>
    </row>
    <row r="42" spans="1:15">
      <c r="A42" s="107"/>
      <c r="B42" s="108"/>
      <c r="C42" s="108"/>
      <c r="D42" s="109"/>
      <c r="E42" s="45"/>
      <c r="F42" s="107"/>
      <c r="G42" s="108"/>
      <c r="H42" s="108"/>
      <c r="I42" s="109"/>
      <c r="J42" s="45"/>
      <c r="K42" s="113"/>
      <c r="L42" s="40"/>
      <c r="M42" s="109"/>
      <c r="N42" s="45"/>
      <c r="O42" s="45"/>
    </row>
    <row r="43" spans="1:15">
      <c r="A43" s="107"/>
      <c r="B43" s="108"/>
      <c r="C43" s="108"/>
      <c r="D43" s="109"/>
      <c r="E43" s="45"/>
      <c r="F43" s="107"/>
      <c r="G43" s="108"/>
      <c r="H43" s="108"/>
      <c r="I43" s="109"/>
      <c r="J43" s="45"/>
      <c r="K43" s="113"/>
      <c r="L43" s="40"/>
      <c r="M43" s="109"/>
      <c r="N43" s="45"/>
      <c r="O43" s="45"/>
    </row>
    <row r="44" spans="1:15">
      <c r="A44" s="107"/>
      <c r="B44" s="108"/>
      <c r="C44" s="108"/>
      <c r="D44" s="109"/>
      <c r="E44" s="45"/>
      <c r="F44" s="107"/>
      <c r="G44" s="108"/>
      <c r="H44" s="108"/>
      <c r="I44" s="109"/>
      <c r="J44" s="45"/>
      <c r="K44" s="113"/>
      <c r="L44" s="40"/>
      <c r="M44" s="109"/>
      <c r="N44" s="45"/>
      <c r="O44" s="45"/>
    </row>
    <row r="45" spans="1:15">
      <c r="A45" s="107"/>
      <c r="B45" s="108"/>
      <c r="C45" s="108"/>
      <c r="D45" s="109"/>
      <c r="E45" s="45"/>
      <c r="F45" s="107"/>
      <c r="G45" s="108"/>
      <c r="H45" s="108"/>
      <c r="I45" s="109"/>
      <c r="J45" s="45"/>
      <c r="K45" s="113"/>
      <c r="L45" s="40"/>
      <c r="M45" s="109"/>
      <c r="N45" s="45"/>
      <c r="O45" s="45"/>
    </row>
    <row r="46" spans="1:15">
      <c r="A46" s="107"/>
      <c r="B46" s="108"/>
      <c r="C46" s="108"/>
      <c r="D46" s="109"/>
      <c r="E46" s="45"/>
      <c r="F46" s="107"/>
      <c r="G46" s="108"/>
      <c r="H46" s="108"/>
      <c r="I46" s="109"/>
      <c r="J46" s="45"/>
      <c r="K46" s="113"/>
      <c r="L46" s="40"/>
      <c r="M46" s="109"/>
      <c r="N46" s="45"/>
      <c r="O46" s="45"/>
    </row>
    <row r="47" spans="1:15">
      <c r="A47" s="107"/>
      <c r="B47" s="108"/>
      <c r="C47" s="108"/>
      <c r="D47" s="109"/>
      <c r="E47" s="45"/>
      <c r="F47" s="107"/>
      <c r="G47" s="108"/>
      <c r="H47" s="108"/>
      <c r="I47" s="109"/>
      <c r="J47" s="45"/>
      <c r="K47" s="113"/>
      <c r="L47" s="40"/>
      <c r="M47" s="109"/>
      <c r="N47" s="45"/>
      <c r="O47" s="45"/>
    </row>
    <row r="48" spans="1:15">
      <c r="A48" s="107"/>
      <c r="B48" s="108"/>
      <c r="C48" s="108"/>
      <c r="D48" s="109"/>
      <c r="E48" s="45"/>
      <c r="F48" s="107"/>
      <c r="G48" s="108"/>
      <c r="H48" s="108"/>
      <c r="I48" s="109"/>
      <c r="J48" s="45"/>
      <c r="K48" s="113"/>
      <c r="L48" s="40"/>
      <c r="M48" s="109"/>
      <c r="N48" s="45"/>
      <c r="O48" s="45"/>
    </row>
    <row r="49" spans="1:15">
      <c r="A49" s="107"/>
      <c r="B49" s="108"/>
      <c r="C49" s="108"/>
      <c r="D49" s="109"/>
      <c r="E49" s="45"/>
      <c r="F49" s="107"/>
      <c r="G49" s="108"/>
      <c r="H49" s="108"/>
      <c r="I49" s="109"/>
      <c r="J49" s="45"/>
      <c r="K49" s="113"/>
      <c r="L49" s="40"/>
      <c r="M49" s="109"/>
      <c r="N49" s="45"/>
      <c r="O49" s="45"/>
    </row>
    <row r="50" spans="1:15">
      <c r="A50" s="107"/>
      <c r="B50" s="108"/>
      <c r="C50" s="108"/>
      <c r="D50" s="109"/>
      <c r="E50" s="45"/>
      <c r="F50" s="107"/>
      <c r="G50" s="108"/>
      <c r="H50" s="108"/>
      <c r="I50" s="109"/>
      <c r="J50" s="45"/>
      <c r="K50" s="113"/>
      <c r="L50" s="40"/>
      <c r="M50" s="109"/>
      <c r="N50" s="45"/>
      <c r="O50" s="45"/>
    </row>
    <row r="51" spans="1:15">
      <c r="A51" s="107"/>
      <c r="B51" s="108"/>
      <c r="C51" s="108"/>
      <c r="D51" s="109"/>
      <c r="E51" s="45"/>
      <c r="F51" s="107"/>
      <c r="G51" s="108"/>
      <c r="H51" s="108"/>
      <c r="I51" s="109"/>
      <c r="J51" s="45"/>
      <c r="K51" s="113"/>
      <c r="L51" s="40"/>
      <c r="M51" s="109"/>
      <c r="N51" s="45"/>
      <c r="O51" s="45"/>
    </row>
    <row r="52" spans="1:15">
      <c r="A52" s="107"/>
      <c r="B52" s="108"/>
      <c r="C52" s="108"/>
      <c r="D52" s="109"/>
      <c r="E52" s="45"/>
      <c r="F52" s="107"/>
      <c r="G52" s="108"/>
      <c r="H52" s="108"/>
      <c r="I52" s="109"/>
      <c r="J52" s="45"/>
      <c r="K52" s="113"/>
      <c r="L52" s="40"/>
      <c r="M52" s="109"/>
      <c r="N52" s="45"/>
      <c r="O52" s="45"/>
    </row>
    <row r="53" spans="1:15">
      <c r="A53" s="107"/>
      <c r="B53" s="108"/>
      <c r="C53" s="108"/>
      <c r="D53" s="109"/>
      <c r="E53" s="45"/>
      <c r="F53" s="107"/>
      <c r="G53" s="108"/>
      <c r="H53" s="108"/>
      <c r="I53" s="109"/>
      <c r="J53" s="45"/>
      <c r="K53" s="113"/>
      <c r="L53" s="40"/>
      <c r="M53" s="109"/>
      <c r="N53" s="45"/>
      <c r="O53" s="45"/>
    </row>
    <row r="54" spans="1:15">
      <c r="A54" s="107"/>
      <c r="B54" s="108"/>
      <c r="C54" s="108"/>
      <c r="D54" s="109"/>
      <c r="E54" s="45"/>
      <c r="F54" s="107"/>
      <c r="G54" s="108"/>
      <c r="H54" s="108"/>
      <c r="I54" s="109"/>
      <c r="J54" s="45"/>
      <c r="K54" s="113"/>
      <c r="L54" s="40"/>
      <c r="M54" s="109"/>
      <c r="N54" s="45"/>
      <c r="O54" s="45"/>
    </row>
    <row r="55" spans="1:15">
      <c r="A55" s="107"/>
      <c r="B55" s="108"/>
      <c r="C55" s="108"/>
      <c r="D55" s="109"/>
      <c r="E55" s="45"/>
      <c r="F55" s="107"/>
      <c r="G55" s="108"/>
      <c r="H55" s="108"/>
      <c r="I55" s="109"/>
      <c r="J55" s="45"/>
      <c r="K55" s="113"/>
      <c r="L55" s="40"/>
      <c r="M55" s="109"/>
      <c r="N55" s="45"/>
      <c r="O55" s="45"/>
    </row>
    <row r="56" spans="1:15">
      <c r="A56" s="107"/>
      <c r="B56" s="108"/>
      <c r="C56" s="108"/>
      <c r="D56" s="109"/>
      <c r="E56" s="45"/>
      <c r="F56" s="107"/>
      <c r="G56" s="108"/>
      <c r="H56" s="108"/>
      <c r="I56" s="109"/>
      <c r="J56" s="45"/>
      <c r="K56" s="113"/>
      <c r="L56" s="40"/>
      <c r="M56" s="109"/>
      <c r="N56" s="45"/>
      <c r="O56" s="45"/>
    </row>
    <row r="57" spans="1:15">
      <c r="A57" s="107"/>
      <c r="B57" s="108"/>
      <c r="C57" s="108"/>
      <c r="D57" s="109"/>
      <c r="E57" s="45"/>
      <c r="F57" s="107"/>
      <c r="G57" s="108"/>
      <c r="H57" s="108"/>
      <c r="I57" s="109"/>
      <c r="J57" s="45"/>
      <c r="K57" s="113"/>
      <c r="L57" s="40"/>
      <c r="M57" s="109"/>
      <c r="N57" s="45"/>
      <c r="O57" s="45"/>
    </row>
    <row r="58" spans="1:15">
      <c r="A58" s="107"/>
      <c r="B58" s="108"/>
      <c r="C58" s="108"/>
      <c r="D58" s="109"/>
      <c r="E58" s="45"/>
      <c r="F58" s="107"/>
      <c r="G58" s="108"/>
      <c r="H58" s="108"/>
      <c r="I58" s="109"/>
      <c r="J58" s="45"/>
      <c r="K58" s="113"/>
      <c r="L58" s="40"/>
      <c r="M58" s="109"/>
      <c r="N58" s="45"/>
      <c r="O58" s="45"/>
    </row>
    <row r="59" spans="1:15">
      <c r="A59" s="107"/>
      <c r="B59" s="108"/>
      <c r="C59" s="108"/>
      <c r="D59" s="109"/>
      <c r="E59" s="45"/>
      <c r="F59" s="107"/>
      <c r="G59" s="108"/>
      <c r="H59" s="108"/>
      <c r="I59" s="109"/>
      <c r="J59" s="45"/>
      <c r="K59" s="113"/>
      <c r="L59" s="40"/>
      <c r="M59" s="109"/>
      <c r="N59" s="45"/>
      <c r="O59" s="45"/>
    </row>
    <row r="60" spans="1:15">
      <c r="A60" s="107"/>
      <c r="B60" s="108"/>
      <c r="C60" s="108"/>
      <c r="D60" s="109"/>
      <c r="E60" s="45"/>
      <c r="F60" s="107"/>
      <c r="G60" s="108"/>
      <c r="H60" s="108"/>
      <c r="I60" s="109"/>
      <c r="J60" s="45"/>
      <c r="K60" s="113"/>
      <c r="L60" s="40"/>
      <c r="M60" s="109"/>
      <c r="N60" s="45"/>
      <c r="O60" s="45"/>
    </row>
    <row r="61" spans="1:15">
      <c r="A61" s="107"/>
      <c r="B61" s="108"/>
      <c r="C61" s="108"/>
      <c r="D61" s="109"/>
      <c r="E61" s="45"/>
      <c r="F61" s="107"/>
      <c r="G61" s="108"/>
      <c r="H61" s="108"/>
      <c r="I61" s="109"/>
      <c r="J61" s="45"/>
      <c r="K61" s="113"/>
      <c r="L61" s="40"/>
      <c r="M61" s="109"/>
      <c r="N61" s="45"/>
      <c r="O61" s="45"/>
    </row>
    <row r="62" spans="1:15">
      <c r="A62" s="107"/>
      <c r="B62" s="108"/>
      <c r="C62" s="108"/>
      <c r="D62" s="109"/>
      <c r="E62" s="45"/>
      <c r="F62" s="107"/>
      <c r="G62" s="108"/>
      <c r="H62" s="108"/>
      <c r="I62" s="109"/>
      <c r="J62" s="45"/>
      <c r="K62" s="113"/>
      <c r="L62" s="40"/>
      <c r="M62" s="109"/>
      <c r="N62" s="45"/>
      <c r="O62" s="45"/>
    </row>
    <row r="63" spans="1:15">
      <c r="A63" s="107"/>
      <c r="B63" s="108"/>
      <c r="C63" s="108"/>
      <c r="D63" s="109"/>
      <c r="E63" s="45"/>
      <c r="F63" s="107"/>
      <c r="G63" s="108"/>
      <c r="H63" s="108"/>
      <c r="I63" s="109"/>
      <c r="J63" s="45"/>
      <c r="K63" s="113"/>
      <c r="L63" s="40"/>
      <c r="M63" s="109"/>
      <c r="N63" s="45"/>
      <c r="O63" s="45"/>
    </row>
    <row r="64" spans="1:15">
      <c r="A64" s="107"/>
      <c r="B64" s="108"/>
      <c r="C64" s="108"/>
      <c r="D64" s="109"/>
      <c r="E64" s="45"/>
      <c r="F64" s="107"/>
      <c r="G64" s="108"/>
      <c r="H64" s="108"/>
      <c r="I64" s="109"/>
      <c r="J64" s="45"/>
      <c r="K64" s="113"/>
      <c r="L64" s="40"/>
      <c r="M64" s="109"/>
      <c r="N64" s="45"/>
      <c r="O64" s="45"/>
    </row>
    <row r="65" spans="1:15">
      <c r="A65" s="107"/>
      <c r="B65" s="108"/>
      <c r="C65" s="108"/>
      <c r="D65" s="109"/>
      <c r="E65" s="45"/>
      <c r="F65" s="107"/>
      <c r="G65" s="108"/>
      <c r="H65" s="108"/>
      <c r="I65" s="109"/>
      <c r="J65" s="45"/>
      <c r="K65" s="113"/>
      <c r="L65" s="40"/>
      <c r="M65" s="109"/>
      <c r="N65" s="45"/>
      <c r="O65" s="45"/>
    </row>
    <row r="66" spans="1:15">
      <c r="A66" s="107"/>
      <c r="B66" s="108"/>
      <c r="C66" s="108"/>
      <c r="D66" s="109"/>
      <c r="E66" s="45"/>
      <c r="F66" s="107"/>
      <c r="G66" s="108"/>
      <c r="H66" s="108"/>
      <c r="I66" s="109"/>
      <c r="J66" s="45"/>
      <c r="K66" s="113"/>
      <c r="L66" s="40"/>
      <c r="M66" s="109"/>
      <c r="N66" s="45"/>
      <c r="O66" s="45"/>
    </row>
    <row r="67" spans="1:15">
      <c r="A67" s="107"/>
      <c r="B67" s="108"/>
      <c r="C67" s="108"/>
      <c r="D67" s="109"/>
      <c r="E67" s="45"/>
      <c r="F67" s="107"/>
      <c r="G67" s="108"/>
      <c r="H67" s="108"/>
      <c r="I67" s="109"/>
      <c r="J67" s="45"/>
      <c r="K67" s="113"/>
      <c r="L67" s="40"/>
      <c r="M67" s="109"/>
      <c r="N67" s="45"/>
      <c r="O67" s="45"/>
    </row>
    <row r="68" spans="1:15">
      <c r="A68" s="107"/>
      <c r="B68" s="108"/>
      <c r="C68" s="108"/>
      <c r="D68" s="109"/>
      <c r="E68" s="45"/>
      <c r="F68" s="107"/>
      <c r="G68" s="108"/>
      <c r="H68" s="108"/>
      <c r="I68" s="109"/>
      <c r="J68" s="45"/>
      <c r="K68" s="113"/>
      <c r="L68" s="40"/>
      <c r="M68" s="109"/>
      <c r="N68" s="45"/>
      <c r="O68" s="45"/>
    </row>
    <row r="69" spans="1:15">
      <c r="A69" s="107"/>
      <c r="B69" s="108"/>
      <c r="C69" s="108"/>
      <c r="D69" s="109"/>
      <c r="E69" s="45"/>
      <c r="F69" s="107"/>
      <c r="G69" s="108"/>
      <c r="H69" s="108"/>
      <c r="I69" s="109"/>
      <c r="J69" s="45"/>
      <c r="K69" s="113"/>
      <c r="L69" s="40"/>
      <c r="M69" s="109"/>
      <c r="N69" s="45"/>
      <c r="O69" s="45"/>
    </row>
    <row r="70" spans="1:15">
      <c r="A70" s="110"/>
      <c r="B70" s="111"/>
      <c r="C70" s="111"/>
      <c r="D70" s="112"/>
      <c r="E70" s="45"/>
      <c r="F70" s="110"/>
      <c r="G70" s="111"/>
      <c r="H70" s="111"/>
      <c r="I70" s="112"/>
      <c r="J70" s="45"/>
      <c r="K70" s="114"/>
      <c r="L70" s="115"/>
      <c r="M70" s="112"/>
      <c r="N70" s="45"/>
      <c r="O70" s="45"/>
    </row>
  </sheetData>
  <sheetProtection sheet="1" objects="1" scenarios="1"/>
  <customSheetViews>
    <customSheetView guid="{53B332ED-AAD8-4519-A3DC-AD9E833CAAC9}" showPageBreaks="1" fitToPage="1" printArea="1" hiddenRows="1" showRuler="0">
      <pane xSplit="2" ySplit="6" topLeftCell="I14" activePane="bottomRight" state="frozen"/>
      <selection pane="bottomRight" activeCell="B1" sqref="B1"/>
      <pageMargins left="0.75" right="0.75" top="1" bottom="1" header="0.5" footer="0.5"/>
      <pageSetup scale="53" orientation="landscape" horizontalDpi="300" verticalDpi="300" r:id="rId1"/>
      <headerFooter alignWithMargins="0"/>
    </customSheetView>
  </customSheetViews>
  <mergeCells count="30">
    <mergeCell ref="O4:O5"/>
    <mergeCell ref="F4:F5"/>
    <mergeCell ref="G4:G5"/>
    <mergeCell ref="H4:H5"/>
    <mergeCell ref="I4:I5"/>
    <mergeCell ref="N4:N5"/>
    <mergeCell ref="A3:A5"/>
    <mergeCell ref="B3:B5"/>
    <mergeCell ref="C4:C5"/>
    <mergeCell ref="D4:D5"/>
    <mergeCell ref="E4:E5"/>
    <mergeCell ref="O1:O2"/>
    <mergeCell ref="G1:G2"/>
    <mergeCell ref="A1:D2"/>
    <mergeCell ref="E1:E2"/>
    <mergeCell ref="F1:F2"/>
    <mergeCell ref="J39:J70"/>
    <mergeCell ref="E39:E70"/>
    <mergeCell ref="N39:O70"/>
    <mergeCell ref="D3:E3"/>
    <mergeCell ref="H1:I2"/>
    <mergeCell ref="A38:O38"/>
    <mergeCell ref="N3:O3"/>
    <mergeCell ref="A39:D39"/>
    <mergeCell ref="F39:I39"/>
    <mergeCell ref="K39:M39"/>
    <mergeCell ref="J3:L3"/>
    <mergeCell ref="M3:M5"/>
    <mergeCell ref="J1:L2"/>
    <mergeCell ref="M1:N2"/>
  </mergeCells>
  <phoneticPr fontId="6" type="noConversion"/>
  <conditionalFormatting sqref="J6:L10 J12:L16 J18:L22 J24:L28 J30:L34">
    <cfRule type="expression" dxfId="1" priority="2">
      <formula>VLOOKUP($A6,meow,4,FALSE)&lt;&gt;$J6+$K6+$L6</formula>
    </cfRule>
  </conditionalFormatting>
  <conditionalFormatting sqref="A39:D39 F39:I39">
    <cfRule type="containsText" dxfId="0" priority="1" operator="containsText" text="(ENTER FIRST MONDAY ABOVE)">
      <formula>NOT(ISERROR(SEARCH("(ENTER FIRST MONDAY ABOVE)",A39)))</formula>
    </cfRule>
  </conditionalFormatting>
  <dataValidations xWindow="647" yWindow="230" count="2">
    <dataValidation type="custom" operator="equal" allowBlank="1" showInputMessage="1" showErrorMessage="1" errorTitle="Monday Requirement" error="The date entered is not a Monday! Please enter the first Monday for this MTD month." promptTitle="First Monday" prompt="Please Enter the First Monday for this MTD month." sqref="H1">
      <formula1>WEEKDAY(H1)=2</formula1>
    </dataValidation>
    <dataValidation type="list" allowBlank="1" showInputMessage="1" showErrorMessage="1" errorTitle="Number of Weeks" error="Please enter a number between 4 and 5." promptTitle="Number of Weeks" prompt="Enter the number of weeks for this MTD month. Must be between 4 and 5." sqref="F1:F2">
      <formula1>"4,5"</formula1>
    </dataValidation>
  </dataValidations>
  <pageMargins left="0.2" right="0.75" top="1" bottom="1" header="0.5" footer="0.5"/>
  <pageSetup scale="57" orientation="landscape" horizontalDpi="3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5509"/>
  <sheetViews>
    <sheetView workbookViewId="0">
      <selection activeCell="B3" sqref="B3"/>
    </sheetView>
  </sheetViews>
  <sheetFormatPr defaultColWidth="0" defaultRowHeight="12.75" zeroHeight="1"/>
  <cols>
    <col min="1" max="1" width="12.5703125" style="16" customWidth="1"/>
    <col min="2" max="3" width="17.140625" style="17" customWidth="1"/>
    <col min="4" max="4" width="31.28515625" style="17" bestFit="1" customWidth="1"/>
    <col min="5" max="5" width="20.28515625" style="18" customWidth="1"/>
    <col min="6" max="16384" width="9.140625" style="2" hidden="1"/>
  </cols>
  <sheetData>
    <row r="1" spans="1:5" ht="27" thickBot="1">
      <c r="A1" s="67" t="s">
        <v>60</v>
      </c>
      <c r="B1" s="68"/>
      <c r="C1" s="68"/>
      <c r="D1" s="68"/>
      <c r="E1" s="69"/>
    </row>
    <row r="2" spans="1:5" ht="15.75">
      <c r="A2" s="12" t="s">
        <v>13</v>
      </c>
      <c r="B2" s="13">
        <v>1250</v>
      </c>
      <c r="C2" s="13">
        <v>1500</v>
      </c>
      <c r="D2" s="13" t="s">
        <v>12</v>
      </c>
      <c r="E2" s="14" t="s">
        <v>23</v>
      </c>
    </row>
    <row r="3" spans="1:5" ht="14.25">
      <c r="A3" s="15" t="str">
        <f>IF(Unapplied!$H$1="","",WORKDAY(Unapplied!$H$1,ROW($A2)-2))</f>
        <v/>
      </c>
      <c r="B3" s="41"/>
      <c r="C3" s="17" t="str">
        <f>IF(ISBLANK(B3),"",B3)</f>
        <v/>
      </c>
      <c r="D3" s="41"/>
      <c r="E3" s="18" t="str">
        <f>IF(OR(C3="",D3=""),"",C3-D3)</f>
        <v/>
      </c>
    </row>
    <row r="4" spans="1:5" ht="14.25">
      <c r="A4" s="15" t="str">
        <f>IF(Unapplied!$H$1="","",WORKDAY(Unapplied!$H$1,ROW($A3)-2))</f>
        <v/>
      </c>
      <c r="B4" s="41"/>
      <c r="C4" s="17" t="str">
        <f>IF(OR(ISBLANK(B4),ISBLANK(B3)),"",B4-B3)</f>
        <v/>
      </c>
      <c r="D4" s="41"/>
      <c r="E4" s="18" t="str">
        <f t="shared" ref="E4:E27" si="0">IF(OR(C4="",D4=""),"",C4-D4)</f>
        <v/>
      </c>
    </row>
    <row r="5" spans="1:5" ht="14.25">
      <c r="A5" s="15" t="str">
        <f>IF(Unapplied!$H$1="","",WORKDAY(Unapplied!$H$1,ROW($A4)-2))</f>
        <v/>
      </c>
      <c r="B5" s="41"/>
      <c r="C5" s="17" t="str">
        <f t="shared" ref="C5:C27" si="1">IF(OR(ISBLANK(B5),ISBLANK(B4)),"",B5-B4)</f>
        <v/>
      </c>
      <c r="D5" s="41"/>
      <c r="E5" s="18" t="str">
        <f t="shared" si="0"/>
        <v/>
      </c>
    </row>
    <row r="6" spans="1:5" ht="14.25">
      <c r="A6" s="15" t="str">
        <f>IF(Unapplied!$H$1="","",WORKDAY(Unapplied!$H$1,ROW($A5)-2))</f>
        <v/>
      </c>
      <c r="B6" s="41"/>
      <c r="C6" s="17" t="str">
        <f t="shared" si="1"/>
        <v/>
      </c>
      <c r="D6" s="41"/>
      <c r="E6" s="18" t="str">
        <f t="shared" si="0"/>
        <v/>
      </c>
    </row>
    <row r="7" spans="1:5" ht="14.25">
      <c r="A7" s="15" t="str">
        <f>IF(Unapplied!$H$1="","",WORKDAY(Unapplied!$H$1,ROW($A6)-2))</f>
        <v/>
      </c>
      <c r="B7" s="41"/>
      <c r="C7" s="17" t="str">
        <f t="shared" si="1"/>
        <v/>
      </c>
      <c r="D7" s="41"/>
      <c r="E7" s="18" t="str">
        <f t="shared" si="0"/>
        <v/>
      </c>
    </row>
    <row r="8" spans="1:5" ht="14.25">
      <c r="A8" s="15" t="str">
        <f>IF(Unapplied!$H$1="","",WORKDAY(Unapplied!$H$1,ROW($A7)-2))</f>
        <v/>
      </c>
      <c r="B8" s="41"/>
      <c r="C8" s="17" t="str">
        <f t="shared" si="1"/>
        <v/>
      </c>
      <c r="D8" s="41"/>
      <c r="E8" s="18" t="str">
        <f t="shared" si="0"/>
        <v/>
      </c>
    </row>
    <row r="9" spans="1:5" ht="14.25">
      <c r="A9" s="15" t="str">
        <f>IF(Unapplied!$H$1="","",WORKDAY(Unapplied!$H$1,ROW($A8)-2))</f>
        <v/>
      </c>
      <c r="B9" s="41"/>
      <c r="C9" s="17" t="str">
        <f t="shared" si="1"/>
        <v/>
      </c>
      <c r="D9" s="41"/>
      <c r="E9" s="18" t="str">
        <f t="shared" si="0"/>
        <v/>
      </c>
    </row>
    <row r="10" spans="1:5" ht="14.25">
      <c r="A10" s="15" t="str">
        <f>IF(Unapplied!$H$1="","",WORKDAY(Unapplied!$H$1,ROW($A9)-2))</f>
        <v/>
      </c>
      <c r="B10" s="41"/>
      <c r="C10" s="17" t="str">
        <f t="shared" si="1"/>
        <v/>
      </c>
      <c r="D10" s="41"/>
      <c r="E10" s="18" t="str">
        <f t="shared" si="0"/>
        <v/>
      </c>
    </row>
    <row r="11" spans="1:5" ht="14.25">
      <c r="A11" s="15" t="str">
        <f>IF(Unapplied!$H$1="","",WORKDAY(Unapplied!$H$1,ROW($A10)-2))</f>
        <v/>
      </c>
      <c r="B11" s="41"/>
      <c r="C11" s="17" t="str">
        <f t="shared" si="1"/>
        <v/>
      </c>
      <c r="D11" s="41"/>
      <c r="E11" s="18" t="str">
        <f t="shared" si="0"/>
        <v/>
      </c>
    </row>
    <row r="12" spans="1:5" ht="14.25">
      <c r="A12" s="15" t="str">
        <f>IF(Unapplied!$H$1="","",WORKDAY(Unapplied!$H$1,ROW($A11)-2))</f>
        <v/>
      </c>
      <c r="B12" s="41"/>
      <c r="C12" s="17" t="str">
        <f t="shared" si="1"/>
        <v/>
      </c>
      <c r="D12" s="41"/>
      <c r="E12" s="18" t="str">
        <f t="shared" si="0"/>
        <v/>
      </c>
    </row>
    <row r="13" spans="1:5" ht="14.25">
      <c r="A13" s="15" t="str">
        <f>IF(Unapplied!$H$1="","",WORKDAY(Unapplied!$H$1,ROW($A12)-2))</f>
        <v/>
      </c>
      <c r="B13" s="41"/>
      <c r="C13" s="17" t="str">
        <f t="shared" si="1"/>
        <v/>
      </c>
      <c r="D13" s="41"/>
      <c r="E13" s="18" t="str">
        <f t="shared" si="0"/>
        <v/>
      </c>
    </row>
    <row r="14" spans="1:5" ht="14.25">
      <c r="A14" s="15" t="str">
        <f>IF(Unapplied!$H$1="","",WORKDAY(Unapplied!$H$1,ROW($A13)-2))</f>
        <v/>
      </c>
      <c r="B14" s="41"/>
      <c r="C14" s="17" t="str">
        <f t="shared" si="1"/>
        <v/>
      </c>
      <c r="D14" s="41"/>
      <c r="E14" s="18" t="str">
        <f t="shared" si="0"/>
        <v/>
      </c>
    </row>
    <row r="15" spans="1:5" ht="14.25">
      <c r="A15" s="15" t="str">
        <f>IF(Unapplied!$H$1="","",WORKDAY(Unapplied!$H$1,ROW($A14)-2))</f>
        <v/>
      </c>
      <c r="B15" s="41"/>
      <c r="C15" s="17" t="str">
        <f t="shared" si="1"/>
        <v/>
      </c>
      <c r="D15" s="41"/>
      <c r="E15" s="18" t="str">
        <f t="shared" si="0"/>
        <v/>
      </c>
    </row>
    <row r="16" spans="1:5" ht="14.25">
      <c r="A16" s="15" t="str">
        <f>IF(Unapplied!$H$1="","",WORKDAY(Unapplied!$H$1,ROW($A15)-2))</f>
        <v/>
      </c>
      <c r="B16" s="41"/>
      <c r="C16" s="17" t="str">
        <f t="shared" si="1"/>
        <v/>
      </c>
      <c r="D16" s="41"/>
      <c r="E16" s="18" t="str">
        <f t="shared" si="0"/>
        <v/>
      </c>
    </row>
    <row r="17" spans="1:5" ht="14.25">
      <c r="A17" s="15" t="str">
        <f>IF(Unapplied!$H$1="","",WORKDAY(Unapplied!$H$1,ROW($A16)-2))</f>
        <v/>
      </c>
      <c r="B17" s="41"/>
      <c r="C17" s="17" t="str">
        <f t="shared" si="1"/>
        <v/>
      </c>
      <c r="D17" s="41"/>
      <c r="E17" s="18" t="str">
        <f t="shared" si="0"/>
        <v/>
      </c>
    </row>
    <row r="18" spans="1:5" ht="14.25">
      <c r="A18" s="15" t="str">
        <f>IF(Unapplied!$H$1="","",WORKDAY(Unapplied!$H$1,ROW($A17)-2))</f>
        <v/>
      </c>
      <c r="B18" s="41"/>
      <c r="C18" s="17" t="str">
        <f t="shared" si="1"/>
        <v/>
      </c>
      <c r="D18" s="41"/>
      <c r="E18" s="18" t="str">
        <f t="shared" si="0"/>
        <v/>
      </c>
    </row>
    <row r="19" spans="1:5" ht="14.25">
      <c r="A19" s="15" t="str">
        <f>IF(Unapplied!$H$1="","",WORKDAY(Unapplied!$H$1,ROW($A18)-2))</f>
        <v/>
      </c>
      <c r="B19" s="41"/>
      <c r="C19" s="17" t="str">
        <f t="shared" si="1"/>
        <v/>
      </c>
      <c r="D19" s="41"/>
      <c r="E19" s="18" t="str">
        <f t="shared" si="0"/>
        <v/>
      </c>
    </row>
    <row r="20" spans="1:5" ht="14.25">
      <c r="A20" s="15" t="str">
        <f>IF(Unapplied!$H$1="","",WORKDAY(Unapplied!$H$1,ROW($A19)-2))</f>
        <v/>
      </c>
      <c r="B20" s="41"/>
      <c r="C20" s="17" t="str">
        <f t="shared" si="1"/>
        <v/>
      </c>
      <c r="D20" s="41"/>
      <c r="E20" s="18" t="str">
        <f t="shared" si="0"/>
        <v/>
      </c>
    </row>
    <row r="21" spans="1:5" ht="14.25">
      <c r="A21" s="15" t="str">
        <f>IF(Unapplied!$H$1="","",WORKDAY(Unapplied!$H$1,ROW($A20)-2))</f>
        <v/>
      </c>
      <c r="B21" s="41"/>
      <c r="C21" s="17" t="str">
        <f t="shared" si="1"/>
        <v/>
      </c>
      <c r="D21" s="41"/>
      <c r="E21" s="18" t="str">
        <f t="shared" si="0"/>
        <v/>
      </c>
    </row>
    <row r="22" spans="1:5" ht="14.25">
      <c r="A22" s="15" t="str">
        <f>IF(Unapplied!$H$1="","",WORKDAY(Unapplied!$H$1,ROW($A21)-2))</f>
        <v/>
      </c>
      <c r="B22" s="41"/>
      <c r="C22" s="17" t="str">
        <f t="shared" si="1"/>
        <v/>
      </c>
      <c r="D22" s="41"/>
      <c r="E22" s="18" t="str">
        <f t="shared" si="0"/>
        <v/>
      </c>
    </row>
    <row r="23" spans="1:5" ht="14.25">
      <c r="A23" s="15" t="str">
        <f>IF(OR(Unapplied!$H$1="",Unapplied!$F$1=4),"",WORKDAY(Unapplied!$H$1,ROW($A22)-2))</f>
        <v/>
      </c>
      <c r="B23" s="41"/>
      <c r="C23" s="17" t="str">
        <f>IF(OR(ISBLANK(B23),ISBLANK(B22),A23=""),"",B23-B22)</f>
        <v/>
      </c>
      <c r="D23" s="41"/>
      <c r="E23" s="18" t="str">
        <f>IF(OR(C23="",D23="",A23=""),"",C23-D23)</f>
        <v/>
      </c>
    </row>
    <row r="24" spans="1:5" ht="14.25">
      <c r="A24" s="15" t="str">
        <f>IF(OR(Unapplied!$H$1="",Unapplied!$F$1=4),"",WORKDAY(Unapplied!$H$1,ROW($A23)-2))</f>
        <v/>
      </c>
      <c r="B24" s="41"/>
      <c r="C24" s="17" t="str">
        <f t="shared" ref="C24:C27" si="2">IF(OR(ISBLANK(B24),ISBLANK(B23),A24=""),"",B24-B23)</f>
        <v/>
      </c>
      <c r="D24" s="41"/>
      <c r="E24" s="18" t="str">
        <f t="shared" ref="E24:E27" si="3">IF(OR(C24="",D24="",A24=""),"",C24-D24)</f>
        <v/>
      </c>
    </row>
    <row r="25" spans="1:5" ht="14.25">
      <c r="A25" s="15" t="str">
        <f>IF(OR(Unapplied!$H$1="",Unapplied!$F$1=4),"",WORKDAY(Unapplied!$H$1,ROW($A24)-2))</f>
        <v/>
      </c>
      <c r="B25" s="41"/>
      <c r="C25" s="17" t="str">
        <f t="shared" si="2"/>
        <v/>
      </c>
      <c r="D25" s="41"/>
      <c r="E25" s="18" t="str">
        <f t="shared" si="3"/>
        <v/>
      </c>
    </row>
    <row r="26" spans="1:5" ht="14.25">
      <c r="A26" s="15" t="str">
        <f>IF(OR(Unapplied!$H$1="",Unapplied!$F$1=4),"",WORKDAY(Unapplied!$H$1,ROW($A25)-2))</f>
        <v/>
      </c>
      <c r="B26" s="41"/>
      <c r="C26" s="17" t="str">
        <f t="shared" si="2"/>
        <v/>
      </c>
      <c r="D26" s="41"/>
      <c r="E26" s="18" t="str">
        <f t="shared" si="3"/>
        <v/>
      </c>
    </row>
    <row r="27" spans="1:5" ht="14.25">
      <c r="A27" s="15" t="str">
        <f>IF(OR(Unapplied!$H$1="",Unapplied!$F$1=4),"",WORKDAY(Unapplied!$H$1,ROW($A26)-2))</f>
        <v/>
      </c>
      <c r="B27" s="41"/>
      <c r="C27" s="17" t="str">
        <f t="shared" si="2"/>
        <v/>
      </c>
      <c r="D27" s="41"/>
      <c r="E27" s="18" t="str">
        <f t="shared" si="3"/>
        <v/>
      </c>
    </row>
    <row r="28" spans="1:5" hidden="1"/>
    <row r="29" spans="1:5" hidden="1"/>
    <row r="30" spans="1:5" hidden="1"/>
    <row r="31" spans="1:5" hidden="1"/>
    <row r="32" spans="1:5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</sheetData>
  <sheetProtection sheet="1" objects="1" scenarios="1"/>
  <customSheetViews>
    <customSheetView guid="{53B332ED-AAD8-4519-A3DC-AD9E833CAAC9}" showRuler="0">
      <selection activeCell="C14" sqref="C14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E1"/>
  </mergeCells>
  <phoneticPr fontId="6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40"/>
  <sheetViews>
    <sheetView workbookViewId="0">
      <selection activeCell="A3" sqref="A3"/>
    </sheetView>
  </sheetViews>
  <sheetFormatPr defaultColWidth="0" defaultRowHeight="12.75" zeroHeight="1"/>
  <cols>
    <col min="1" max="4" width="18.5703125" style="2" customWidth="1"/>
    <col min="5" max="16384" width="18.5703125" style="2" hidden="1"/>
  </cols>
  <sheetData>
    <row r="1" spans="1:4" ht="24" thickBot="1">
      <c r="A1" s="78" t="s">
        <v>35</v>
      </c>
      <c r="B1" s="79"/>
      <c r="C1" s="79"/>
      <c r="D1" s="80"/>
    </row>
    <row r="2" spans="1:4" ht="15.75">
      <c r="A2" s="116" t="s">
        <v>30</v>
      </c>
      <c r="B2" s="116" t="s">
        <v>27</v>
      </c>
      <c r="C2" s="116" t="s">
        <v>55</v>
      </c>
      <c r="D2" s="116" t="s">
        <v>31</v>
      </c>
    </row>
    <row r="3" spans="1:4">
      <c r="A3" s="27"/>
      <c r="B3" s="27"/>
      <c r="C3" s="27"/>
      <c r="D3" s="27"/>
    </row>
    <row r="4" spans="1:4">
      <c r="A4" s="27"/>
      <c r="B4" s="27"/>
      <c r="C4" s="27"/>
      <c r="D4" s="27"/>
    </row>
    <row r="5" spans="1:4">
      <c r="A5" s="27"/>
      <c r="B5" s="27"/>
      <c r="C5" s="27"/>
      <c r="D5" s="27"/>
    </row>
    <row r="6" spans="1:4">
      <c r="A6" s="27"/>
      <c r="B6" s="27"/>
      <c r="C6" s="27"/>
      <c r="D6" s="27"/>
    </row>
    <row r="7" spans="1:4">
      <c r="A7" s="27"/>
      <c r="B7" s="27"/>
      <c r="C7" s="27"/>
      <c r="D7" s="27"/>
    </row>
    <row r="8" spans="1:4">
      <c r="A8" s="27"/>
      <c r="B8" s="27"/>
      <c r="C8" s="27"/>
      <c r="D8" s="27"/>
    </row>
    <row r="9" spans="1:4">
      <c r="A9" s="27"/>
      <c r="B9" s="27"/>
      <c r="C9" s="27"/>
      <c r="D9" s="27"/>
    </row>
    <row r="10" spans="1:4">
      <c r="A10" s="27"/>
      <c r="B10" s="27"/>
      <c r="C10" s="27"/>
      <c r="D10" s="27"/>
    </row>
    <row r="11" spans="1:4">
      <c r="A11" s="27"/>
      <c r="B11" s="27"/>
      <c r="C11" s="27"/>
      <c r="D11" s="27"/>
    </row>
    <row r="12" spans="1:4">
      <c r="A12" s="27"/>
      <c r="B12" s="27"/>
      <c r="C12" s="27"/>
      <c r="D12" s="27"/>
    </row>
    <row r="13" spans="1:4">
      <c r="A13" s="27"/>
      <c r="B13" s="27"/>
      <c r="C13" s="27"/>
      <c r="D13" s="27"/>
    </row>
    <row r="14" spans="1:4">
      <c r="A14" s="27"/>
      <c r="B14" s="27"/>
      <c r="C14" s="27"/>
      <c r="D14" s="27"/>
    </row>
    <row r="15" spans="1:4">
      <c r="A15" s="27"/>
      <c r="B15" s="27"/>
      <c r="C15" s="27"/>
      <c r="D15" s="27"/>
    </row>
    <row r="16" spans="1:4">
      <c r="A16" s="27"/>
      <c r="B16" s="27"/>
      <c r="C16" s="27"/>
      <c r="D16" s="27"/>
    </row>
    <row r="17" spans="1:4">
      <c r="A17" s="27"/>
      <c r="B17" s="27"/>
      <c r="C17" s="27"/>
      <c r="D17" s="27"/>
    </row>
    <row r="18" spans="1:4">
      <c r="A18" s="27"/>
      <c r="B18" s="27"/>
      <c r="C18" s="27"/>
      <c r="D18" s="27"/>
    </row>
    <row r="19" spans="1:4">
      <c r="A19" s="27"/>
      <c r="B19" s="27"/>
      <c r="C19" s="27"/>
      <c r="D19" s="27"/>
    </row>
    <row r="20" spans="1:4">
      <c r="A20" s="27"/>
      <c r="B20" s="27"/>
      <c r="C20" s="27"/>
      <c r="D20" s="27"/>
    </row>
    <row r="21" spans="1:4">
      <c r="A21" s="27"/>
      <c r="B21" s="27"/>
      <c r="C21" s="27"/>
      <c r="D21" s="27"/>
    </row>
    <row r="22" spans="1:4">
      <c r="A22" s="27"/>
      <c r="B22" s="27"/>
      <c r="C22" s="27"/>
      <c r="D22" s="27"/>
    </row>
    <row r="23" spans="1:4">
      <c r="A23" s="27"/>
      <c r="B23" s="27"/>
      <c r="C23" s="27"/>
      <c r="D23" s="27"/>
    </row>
    <row r="24" spans="1:4">
      <c r="A24" s="27"/>
      <c r="B24" s="27"/>
      <c r="C24" s="27"/>
      <c r="D24" s="27"/>
    </row>
    <row r="25" spans="1:4">
      <c r="A25" s="27"/>
      <c r="B25" s="27"/>
      <c r="C25" s="27"/>
      <c r="D25" s="27"/>
    </row>
    <row r="26" spans="1:4">
      <c r="A26" s="27"/>
      <c r="B26" s="27"/>
      <c r="C26" s="27"/>
      <c r="D26" s="27"/>
    </row>
    <row r="27" spans="1:4">
      <c r="A27" s="27"/>
      <c r="B27" s="27"/>
      <c r="C27" s="27"/>
      <c r="D27" s="27"/>
    </row>
    <row r="28" spans="1:4">
      <c r="A28" s="27"/>
      <c r="B28" s="27"/>
      <c r="C28" s="27"/>
      <c r="D28" s="27"/>
    </row>
    <row r="29" spans="1:4">
      <c r="A29" s="27"/>
      <c r="B29" s="27"/>
      <c r="C29" s="27"/>
      <c r="D29" s="27"/>
    </row>
    <row r="30" spans="1:4">
      <c r="A30" s="27"/>
      <c r="B30" s="27"/>
      <c r="C30" s="27"/>
      <c r="D30" s="27"/>
    </row>
    <row r="31" spans="1:4">
      <c r="A31" s="27"/>
      <c r="B31" s="27"/>
      <c r="C31" s="27"/>
      <c r="D31" s="27"/>
    </row>
    <row r="32" spans="1:4">
      <c r="A32" s="27"/>
      <c r="B32" s="27"/>
      <c r="C32" s="27"/>
      <c r="D32" s="27"/>
    </row>
    <row r="33" hidden="1"/>
    <row r="34" hidden="1"/>
    <row r="35" hidden="1"/>
    <row r="36" hidden="1"/>
    <row r="37" hidden="1"/>
    <row r="38" hidden="1"/>
    <row r="39" hidden="1"/>
    <row r="40" hidden="1"/>
  </sheetData>
  <sheetProtection sheet="1" objects="1" scenarios="1"/>
  <mergeCells count="1">
    <mergeCell ref="A1:D1"/>
  </mergeCells>
  <phoneticPr fontId="6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87"/>
  <sheetViews>
    <sheetView tabSelected="1" zoomScale="85" zoomScaleNormal="85" workbookViewId="0">
      <selection activeCell="B2" sqref="B2:E2"/>
    </sheetView>
  </sheetViews>
  <sheetFormatPr defaultColWidth="0" defaultRowHeight="12.75"/>
  <cols>
    <col min="1" max="1" width="22.7109375" style="42" customWidth="1"/>
    <col min="2" max="2" width="15.28515625" style="42" customWidth="1"/>
    <col min="3" max="3" width="24.28515625" style="42" customWidth="1"/>
    <col min="4" max="4" width="14" style="42" customWidth="1"/>
    <col min="5" max="5" width="27.28515625" style="42" customWidth="1"/>
    <col min="6" max="6" width="9.140625" style="131" hidden="1" customWidth="1"/>
    <col min="7" max="10" width="0" style="131" hidden="1" customWidth="1"/>
    <col min="11" max="16384" width="9.140625" style="131" hidden="1"/>
  </cols>
  <sheetData>
    <row r="1" spans="1:5" s="2" customFormat="1" ht="34.5" thickBot="1">
      <c r="A1" s="117" t="s">
        <v>27</v>
      </c>
      <c r="B1" s="118"/>
      <c r="C1" s="118"/>
      <c r="D1" s="118"/>
      <c r="E1" s="119"/>
    </row>
    <row r="2" spans="1:5" s="121" customFormat="1" ht="14.25">
      <c r="A2" s="120" t="s">
        <v>48</v>
      </c>
      <c r="B2" s="72"/>
      <c r="C2" s="72"/>
      <c r="D2" s="72"/>
      <c r="E2" s="73"/>
    </row>
    <row r="3" spans="1:5" s="121" customFormat="1" ht="14.25">
      <c r="A3" s="122" t="s">
        <v>49</v>
      </c>
      <c r="B3" s="74"/>
      <c r="C3" s="74"/>
      <c r="D3" s="74"/>
      <c r="E3" s="75"/>
    </row>
    <row r="4" spans="1:5" s="121" customFormat="1" ht="14.25">
      <c r="A4" s="122" t="s">
        <v>50</v>
      </c>
      <c r="B4" s="74"/>
      <c r="C4" s="74"/>
      <c r="D4" s="74"/>
      <c r="E4" s="75"/>
    </row>
    <row r="5" spans="1:5" s="121" customFormat="1" ht="15" thickBot="1">
      <c r="A5" s="123" t="s">
        <v>51</v>
      </c>
      <c r="B5" s="76"/>
      <c r="C5" s="76"/>
      <c r="D5" s="76"/>
      <c r="E5" s="77"/>
    </row>
    <row r="6" spans="1:5" s="2" customFormat="1" ht="21" thickBot="1">
      <c r="A6" s="49" t="s">
        <v>53</v>
      </c>
      <c r="B6" s="51"/>
      <c r="C6" s="51"/>
      <c r="D6" s="51"/>
      <c r="E6" s="50"/>
    </row>
    <row r="7" spans="1:5" s="2" customFormat="1" ht="15">
      <c r="A7" s="124" t="s">
        <v>28</v>
      </c>
      <c r="B7" s="125" t="s">
        <v>43</v>
      </c>
      <c r="C7" s="125"/>
      <c r="D7" s="125"/>
      <c r="E7" s="124" t="s">
        <v>15</v>
      </c>
    </row>
    <row r="8" spans="1:5" s="2" customFormat="1">
      <c r="A8" s="5" t="str">
        <f>IF(ISBLANK(Unapplied!L41),"",-Unapplied!L41)</f>
        <v/>
      </c>
      <c r="B8" s="70"/>
      <c r="C8" s="71"/>
      <c r="D8" s="71"/>
      <c r="E8" s="4"/>
    </row>
    <row r="9" spans="1:5" s="2" customFormat="1">
      <c r="A9" s="5" t="str">
        <f>IF(ISBLANK(Unapplied!L42),"",-Unapplied!L42)</f>
        <v/>
      </c>
      <c r="B9" s="70"/>
      <c r="C9" s="71"/>
      <c r="D9" s="71"/>
      <c r="E9" s="4"/>
    </row>
    <row r="10" spans="1:5" s="2" customFormat="1">
      <c r="A10" s="5" t="str">
        <f>IF(ISBLANK(Unapplied!L43),"",-Unapplied!L43)</f>
        <v/>
      </c>
      <c r="B10" s="70"/>
      <c r="C10" s="71"/>
      <c r="D10" s="71"/>
      <c r="E10" s="4"/>
    </row>
    <row r="11" spans="1:5" s="2" customFormat="1">
      <c r="A11" s="5" t="str">
        <f>IF(ISBLANK(Unapplied!L44),"",-Unapplied!L44)</f>
        <v/>
      </c>
      <c r="B11" s="70"/>
      <c r="C11" s="71"/>
      <c r="D11" s="71"/>
      <c r="E11" s="4"/>
    </row>
    <row r="12" spans="1:5" s="2" customFormat="1">
      <c r="A12" s="5" t="str">
        <f>IF(ISBLANK(Unapplied!L45),"",-Unapplied!L45)</f>
        <v/>
      </c>
      <c r="B12" s="70"/>
      <c r="C12" s="71"/>
      <c r="D12" s="71"/>
      <c r="E12" s="4"/>
    </row>
    <row r="13" spans="1:5" s="2" customFormat="1">
      <c r="A13" s="5" t="str">
        <f>IF(ISBLANK(Unapplied!L46),"",-Unapplied!L46)</f>
        <v/>
      </c>
      <c r="B13" s="70"/>
      <c r="C13" s="71"/>
      <c r="D13" s="71"/>
      <c r="E13" s="4"/>
    </row>
    <row r="14" spans="1:5" s="2" customFormat="1">
      <c r="A14" s="5" t="str">
        <f>IF(ISBLANK(Unapplied!L47),"",-Unapplied!L47)</f>
        <v/>
      </c>
      <c r="B14" s="70"/>
      <c r="C14" s="71"/>
      <c r="D14" s="71"/>
      <c r="E14" s="4"/>
    </row>
    <row r="15" spans="1:5" s="2" customFormat="1">
      <c r="A15" s="5" t="str">
        <f>IF(ISBLANK(Unapplied!L48),"",-Unapplied!L48)</f>
        <v/>
      </c>
      <c r="B15" s="70"/>
      <c r="C15" s="71"/>
      <c r="D15" s="71"/>
      <c r="E15" s="4"/>
    </row>
    <row r="16" spans="1:5" s="2" customFormat="1">
      <c r="A16" s="5" t="str">
        <f>IF(ISBLANK(Unapplied!L49),"",-Unapplied!L49)</f>
        <v/>
      </c>
      <c r="B16" s="70"/>
      <c r="C16" s="71"/>
      <c r="D16" s="71"/>
      <c r="E16" s="4"/>
    </row>
    <row r="17" spans="1:5" s="2" customFormat="1">
      <c r="A17" s="5" t="str">
        <f>IF(ISBLANK(Unapplied!L50),"",-Unapplied!L50)</f>
        <v/>
      </c>
      <c r="B17" s="70"/>
      <c r="C17" s="71"/>
      <c r="D17" s="71"/>
      <c r="E17" s="4"/>
    </row>
    <row r="18" spans="1:5" s="2" customFormat="1">
      <c r="A18" s="5" t="str">
        <f>IF(ISBLANK(Unapplied!L51),"",-Unapplied!L51)</f>
        <v/>
      </c>
      <c r="B18" s="70"/>
      <c r="C18" s="71"/>
      <c r="D18" s="71"/>
      <c r="E18" s="4"/>
    </row>
    <row r="19" spans="1:5" s="2" customFormat="1">
      <c r="A19" s="5" t="str">
        <f>IF(ISBLANK(Unapplied!L52),"",-Unapplied!L52)</f>
        <v/>
      </c>
      <c r="B19" s="70"/>
      <c r="C19" s="71"/>
      <c r="D19" s="71"/>
      <c r="E19" s="4"/>
    </row>
    <row r="20" spans="1:5" s="2" customFormat="1">
      <c r="A20" s="5" t="str">
        <f>IF(ISBLANK(Unapplied!L53),"",-Unapplied!L53)</f>
        <v/>
      </c>
      <c r="B20" s="70"/>
      <c r="C20" s="71"/>
      <c r="D20" s="71"/>
      <c r="E20" s="4"/>
    </row>
    <row r="21" spans="1:5" s="2" customFormat="1">
      <c r="A21" s="5" t="str">
        <f>IF(ISBLANK(Unapplied!L54),"",-Unapplied!L54)</f>
        <v/>
      </c>
      <c r="B21" s="70"/>
      <c r="C21" s="71"/>
      <c r="D21" s="71"/>
      <c r="E21" s="4"/>
    </row>
    <row r="22" spans="1:5" s="2" customFormat="1">
      <c r="A22" s="5" t="str">
        <f>IF(ISBLANK(Unapplied!L55),"",-Unapplied!L55)</f>
        <v/>
      </c>
      <c r="B22" s="70"/>
      <c r="C22" s="71"/>
      <c r="D22" s="71"/>
      <c r="E22" s="4"/>
    </row>
    <row r="23" spans="1:5" s="2" customFormat="1">
      <c r="A23" s="5" t="str">
        <f>IF(ISBLANK(Unapplied!L56),"",-Unapplied!L56)</f>
        <v/>
      </c>
      <c r="B23" s="70"/>
      <c r="C23" s="71"/>
      <c r="D23" s="71"/>
      <c r="E23" s="4"/>
    </row>
    <row r="24" spans="1:5" s="2" customFormat="1">
      <c r="A24" s="5" t="str">
        <f>IF(ISBLANK(Unapplied!L57),"",-Unapplied!L57)</f>
        <v/>
      </c>
      <c r="B24" s="70"/>
      <c r="C24" s="71"/>
      <c r="D24" s="71"/>
      <c r="E24" s="4"/>
    </row>
    <row r="25" spans="1:5" s="2" customFormat="1">
      <c r="A25" s="5" t="str">
        <f>IF(ISBLANK(Unapplied!L58),"",-Unapplied!L58)</f>
        <v/>
      </c>
      <c r="B25" s="70"/>
      <c r="C25" s="71"/>
      <c r="D25" s="71"/>
      <c r="E25" s="4"/>
    </row>
    <row r="26" spans="1:5" s="2" customFormat="1">
      <c r="A26" s="5" t="str">
        <f>IF(ISBLANK(Unapplied!L59),"",-Unapplied!L59)</f>
        <v/>
      </c>
      <c r="B26" s="70"/>
      <c r="C26" s="71"/>
      <c r="D26" s="71"/>
      <c r="E26" s="4"/>
    </row>
    <row r="27" spans="1:5" s="2" customFormat="1">
      <c r="A27" s="5" t="str">
        <f>IF(ISBLANK(Unapplied!L60),"",-Unapplied!L60)</f>
        <v/>
      </c>
      <c r="B27" s="70"/>
      <c r="C27" s="71"/>
      <c r="D27" s="71"/>
      <c r="E27" s="4"/>
    </row>
    <row r="28" spans="1:5" s="2" customFormat="1">
      <c r="A28" s="5" t="str">
        <f>IF(ISBLANK(Unapplied!L61),"",-Unapplied!L61)</f>
        <v/>
      </c>
      <c r="B28" s="70"/>
      <c r="C28" s="71"/>
      <c r="D28" s="71"/>
      <c r="E28" s="4"/>
    </row>
    <row r="29" spans="1:5" s="2" customFormat="1">
      <c r="A29" s="5" t="str">
        <f>IF(ISBLANK(Unapplied!L62),"",-Unapplied!L62)</f>
        <v/>
      </c>
      <c r="B29" s="70"/>
      <c r="C29" s="71"/>
      <c r="D29" s="71"/>
      <c r="E29" s="4"/>
    </row>
    <row r="30" spans="1:5" s="2" customFormat="1">
      <c r="A30" s="5" t="str">
        <f>IF(ISBLANK(Unapplied!L63),"",-Unapplied!L63)</f>
        <v/>
      </c>
      <c r="B30" s="70"/>
      <c r="C30" s="71"/>
      <c r="D30" s="71"/>
      <c r="E30" s="4"/>
    </row>
    <row r="31" spans="1:5" s="2" customFormat="1">
      <c r="A31" s="5" t="str">
        <f>IF(ISBLANK(Unapplied!L64),"",-Unapplied!L64)</f>
        <v/>
      </c>
      <c r="B31" s="70"/>
      <c r="C31" s="71"/>
      <c r="D31" s="71"/>
      <c r="E31" s="4"/>
    </row>
    <row r="32" spans="1:5" s="2" customFormat="1">
      <c r="A32" s="5" t="str">
        <f>IF(ISBLANK(Unapplied!L65),"",-Unapplied!L65)</f>
        <v/>
      </c>
      <c r="B32" s="70"/>
      <c r="C32" s="71"/>
      <c r="D32" s="71"/>
      <c r="E32" s="4"/>
    </row>
    <row r="33" spans="1:5" s="2" customFormat="1">
      <c r="A33" s="5" t="str">
        <f>IF(ISBLANK(Unapplied!L66),"",-Unapplied!L66)</f>
        <v/>
      </c>
      <c r="B33" s="70"/>
      <c r="C33" s="71"/>
      <c r="D33" s="71"/>
      <c r="E33" s="4"/>
    </row>
    <row r="34" spans="1:5" s="2" customFormat="1">
      <c r="A34" s="5" t="str">
        <f>IF(ISBLANK(Unapplied!L67),"",-Unapplied!L67)</f>
        <v/>
      </c>
      <c r="B34" s="70"/>
      <c r="C34" s="71"/>
      <c r="D34" s="71"/>
      <c r="E34" s="4"/>
    </row>
    <row r="35" spans="1:5" s="2" customFormat="1">
      <c r="A35" s="5" t="str">
        <f>IF(ISBLANK(Unapplied!L68),"",-Unapplied!L68)</f>
        <v/>
      </c>
      <c r="B35" s="70"/>
      <c r="C35" s="71"/>
      <c r="D35" s="71"/>
      <c r="E35" s="4"/>
    </row>
    <row r="36" spans="1:5" s="2" customFormat="1">
      <c r="A36" s="5" t="str">
        <f>IF(ISBLANK(Unapplied!L69),"",-Unapplied!L69)</f>
        <v/>
      </c>
      <c r="B36" s="70"/>
      <c r="C36" s="71"/>
      <c r="D36" s="71"/>
      <c r="E36" s="4"/>
    </row>
    <row r="37" spans="1:5" s="2" customFormat="1">
      <c r="A37" s="5" t="str">
        <f>IF(ISBLANK(Unapplied!L70),"",-Unapplied!L70)</f>
        <v/>
      </c>
      <c r="B37" s="70"/>
      <c r="C37" s="71"/>
      <c r="D37" s="71"/>
      <c r="E37" s="4"/>
    </row>
    <row r="38" spans="1:5" s="127" customFormat="1" ht="16.5" thickBot="1">
      <c r="A38" s="9">
        <f>SUM(A8:A37)</f>
        <v>0</v>
      </c>
      <c r="B38" s="126" t="s">
        <v>52</v>
      </c>
      <c r="C38" s="126"/>
      <c r="D38" s="126"/>
      <c r="E38" s="126"/>
    </row>
    <row r="39" spans="1:5" ht="21" thickBot="1">
      <c r="A39" s="128" t="s">
        <v>54</v>
      </c>
      <c r="B39" s="129"/>
      <c r="C39" s="129"/>
      <c r="D39" s="129"/>
      <c r="E39" s="130"/>
    </row>
    <row r="40" spans="1:5" ht="15">
      <c r="A40" s="132" t="s">
        <v>28</v>
      </c>
      <c r="B40" s="133" t="s">
        <v>43</v>
      </c>
      <c r="C40" s="133"/>
      <c r="D40" s="133"/>
      <c r="E40" s="133"/>
    </row>
    <row r="41" spans="1:5">
      <c r="A41" s="134" t="str">
        <f>IF(ISBLANK(Unapplied!F41),"",Unapplied!F41)</f>
        <v/>
      </c>
      <c r="B41" s="135" t="str">
        <f>IF(ISBLANK(Unapplied!G41),"",Unapplied!G41)</f>
        <v/>
      </c>
      <c r="C41" s="135"/>
      <c r="D41" s="135"/>
      <c r="E41" s="135"/>
    </row>
    <row r="42" spans="1:5">
      <c r="A42" s="134" t="str">
        <f>IF(ISBLANK(Unapplied!F42),"",Unapplied!F42)</f>
        <v/>
      </c>
      <c r="B42" s="135" t="str">
        <f>IF(ISBLANK(Unapplied!G42),"",Unapplied!G42)</f>
        <v/>
      </c>
      <c r="C42" s="135"/>
      <c r="D42" s="135"/>
      <c r="E42" s="135"/>
    </row>
    <row r="43" spans="1:5">
      <c r="A43" s="134" t="str">
        <f>IF(ISBLANK(Unapplied!F43),"",Unapplied!F43)</f>
        <v/>
      </c>
      <c r="B43" s="135" t="str">
        <f>IF(ISBLANK(Unapplied!G43),"",Unapplied!G43)</f>
        <v/>
      </c>
      <c r="C43" s="135"/>
      <c r="D43" s="135"/>
      <c r="E43" s="135"/>
    </row>
    <row r="44" spans="1:5">
      <c r="A44" s="134" t="str">
        <f>IF(ISBLANK(Unapplied!F44),"",Unapplied!F44)</f>
        <v/>
      </c>
      <c r="B44" s="135" t="str">
        <f>IF(ISBLANK(Unapplied!G44),"",Unapplied!G44)</f>
        <v/>
      </c>
      <c r="C44" s="135"/>
      <c r="D44" s="135"/>
      <c r="E44" s="135"/>
    </row>
    <row r="45" spans="1:5">
      <c r="A45" s="134" t="str">
        <f>IF(ISBLANK(Unapplied!F45),"",Unapplied!F45)</f>
        <v/>
      </c>
      <c r="B45" s="135" t="str">
        <f>IF(ISBLANK(Unapplied!G45),"",Unapplied!G45)</f>
        <v/>
      </c>
      <c r="C45" s="135"/>
      <c r="D45" s="135"/>
      <c r="E45" s="135"/>
    </row>
    <row r="46" spans="1:5">
      <c r="A46" s="134" t="str">
        <f>IF(ISBLANK(Unapplied!F46),"",Unapplied!F46)</f>
        <v/>
      </c>
      <c r="B46" s="135" t="str">
        <f>IF(ISBLANK(Unapplied!G46),"",Unapplied!G46)</f>
        <v/>
      </c>
      <c r="C46" s="135"/>
      <c r="D46" s="135"/>
      <c r="E46" s="135"/>
    </row>
    <row r="47" spans="1:5">
      <c r="A47" s="134" t="str">
        <f>IF(ISBLANK(Unapplied!F47),"",Unapplied!F47)</f>
        <v/>
      </c>
      <c r="B47" s="135" t="str">
        <f>IF(ISBLANK(Unapplied!G47),"",Unapplied!G47)</f>
        <v/>
      </c>
      <c r="C47" s="135"/>
      <c r="D47" s="135"/>
      <c r="E47" s="135"/>
    </row>
    <row r="48" spans="1:5">
      <c r="A48" s="134" t="str">
        <f>IF(ISBLANK(Unapplied!F48),"",Unapplied!F48)</f>
        <v/>
      </c>
      <c r="B48" s="135" t="str">
        <f>IF(ISBLANK(Unapplied!G48),"",Unapplied!G48)</f>
        <v/>
      </c>
      <c r="C48" s="135"/>
      <c r="D48" s="135"/>
      <c r="E48" s="135"/>
    </row>
    <row r="49" spans="1:5">
      <c r="A49" s="134" t="str">
        <f>IF(ISBLANK(Unapplied!F49),"",Unapplied!F49)</f>
        <v/>
      </c>
      <c r="B49" s="135" t="str">
        <f>IF(ISBLANK(Unapplied!G49),"",Unapplied!G49)</f>
        <v/>
      </c>
      <c r="C49" s="135"/>
      <c r="D49" s="135"/>
      <c r="E49" s="135"/>
    </row>
    <row r="50" spans="1:5">
      <c r="A50" s="134" t="str">
        <f>IF(ISBLANK(Unapplied!F50),"",Unapplied!F50)</f>
        <v/>
      </c>
      <c r="B50" s="135" t="str">
        <f>IF(ISBLANK(Unapplied!G50),"",Unapplied!G50)</f>
        <v/>
      </c>
      <c r="C50" s="135"/>
      <c r="D50" s="135"/>
      <c r="E50" s="135"/>
    </row>
    <row r="51" spans="1:5">
      <c r="A51" s="134" t="str">
        <f>IF(ISBLANK(Unapplied!F51),"",Unapplied!F51)</f>
        <v/>
      </c>
      <c r="B51" s="135" t="str">
        <f>IF(ISBLANK(Unapplied!G51),"",Unapplied!G51)</f>
        <v/>
      </c>
      <c r="C51" s="135"/>
      <c r="D51" s="135"/>
      <c r="E51" s="135"/>
    </row>
    <row r="52" spans="1:5">
      <c r="A52" s="134" t="str">
        <f>IF(ISBLANK(Unapplied!F52),"",Unapplied!F52)</f>
        <v/>
      </c>
      <c r="B52" s="135" t="str">
        <f>IF(ISBLANK(Unapplied!G52),"",Unapplied!G52)</f>
        <v/>
      </c>
      <c r="C52" s="135"/>
      <c r="D52" s="135"/>
      <c r="E52" s="135"/>
    </row>
    <row r="53" spans="1:5">
      <c r="A53" s="134" t="str">
        <f>IF(ISBLANK(Unapplied!F53),"",Unapplied!F53)</f>
        <v/>
      </c>
      <c r="B53" s="135" t="str">
        <f>IF(ISBLANK(Unapplied!G53),"",Unapplied!G53)</f>
        <v/>
      </c>
      <c r="C53" s="135"/>
      <c r="D53" s="135"/>
      <c r="E53" s="135"/>
    </row>
    <row r="54" spans="1:5">
      <c r="A54" s="134" t="str">
        <f>IF(ISBLANK(Unapplied!F54),"",Unapplied!F54)</f>
        <v/>
      </c>
      <c r="B54" s="135" t="str">
        <f>IF(ISBLANK(Unapplied!G54),"",Unapplied!G54)</f>
        <v/>
      </c>
      <c r="C54" s="135"/>
      <c r="D54" s="135"/>
      <c r="E54" s="135"/>
    </row>
    <row r="55" spans="1:5">
      <c r="A55" s="134" t="str">
        <f>IF(ISBLANK(Unapplied!F55),"",Unapplied!F55)</f>
        <v/>
      </c>
      <c r="B55" s="135" t="str">
        <f>IF(ISBLANK(Unapplied!G55),"",Unapplied!G55)</f>
        <v/>
      </c>
      <c r="C55" s="135"/>
      <c r="D55" s="135"/>
      <c r="E55" s="135"/>
    </row>
    <row r="56" spans="1:5">
      <c r="A56" s="134" t="str">
        <f>IF(ISBLANK(Unapplied!F56),"",Unapplied!F56)</f>
        <v/>
      </c>
      <c r="B56" s="135" t="str">
        <f>IF(ISBLANK(Unapplied!G56),"",Unapplied!G56)</f>
        <v/>
      </c>
      <c r="C56" s="135"/>
      <c r="D56" s="135"/>
      <c r="E56" s="135"/>
    </row>
    <row r="57" spans="1:5">
      <c r="A57" s="134" t="str">
        <f>IF(ISBLANK(Unapplied!F57),"",Unapplied!F57)</f>
        <v/>
      </c>
      <c r="B57" s="135" t="str">
        <f>IF(ISBLANK(Unapplied!G57),"",Unapplied!G57)</f>
        <v/>
      </c>
      <c r="C57" s="135"/>
      <c r="D57" s="135"/>
      <c r="E57" s="135"/>
    </row>
    <row r="58" spans="1:5">
      <c r="A58" s="134" t="str">
        <f>IF(ISBLANK(Unapplied!F58),"",Unapplied!F58)</f>
        <v/>
      </c>
      <c r="B58" s="135" t="str">
        <f>IF(ISBLANK(Unapplied!G58),"",Unapplied!G58)</f>
        <v/>
      </c>
      <c r="C58" s="135"/>
      <c r="D58" s="135"/>
      <c r="E58" s="135"/>
    </row>
    <row r="59" spans="1:5">
      <c r="A59" s="134" t="str">
        <f>IF(ISBLANK(Unapplied!F59),"",Unapplied!F59)</f>
        <v/>
      </c>
      <c r="B59" s="135" t="str">
        <f>IF(ISBLANK(Unapplied!G59),"",Unapplied!G59)</f>
        <v/>
      </c>
      <c r="C59" s="135"/>
      <c r="D59" s="135"/>
      <c r="E59" s="135"/>
    </row>
    <row r="60" spans="1:5">
      <c r="A60" s="134" t="str">
        <f>IF(ISBLANK(Unapplied!F60),"",Unapplied!F60)</f>
        <v/>
      </c>
      <c r="B60" s="135" t="str">
        <f>IF(ISBLANK(Unapplied!G60),"",Unapplied!G60)</f>
        <v/>
      </c>
      <c r="C60" s="135"/>
      <c r="D60" s="135"/>
      <c r="E60" s="135"/>
    </row>
    <row r="61" spans="1:5">
      <c r="A61" s="134" t="str">
        <f>IF(ISBLANK(Unapplied!F61),"",Unapplied!F61)</f>
        <v/>
      </c>
      <c r="B61" s="135" t="str">
        <f>IF(ISBLANK(Unapplied!G61),"",Unapplied!G61)</f>
        <v/>
      </c>
      <c r="C61" s="135"/>
      <c r="D61" s="135"/>
      <c r="E61" s="135"/>
    </row>
    <row r="62" spans="1:5">
      <c r="A62" s="134" t="str">
        <f>IF(ISBLANK(Unapplied!F62),"",Unapplied!F62)</f>
        <v/>
      </c>
      <c r="B62" s="135" t="str">
        <f>IF(ISBLANK(Unapplied!G62),"",Unapplied!G62)</f>
        <v/>
      </c>
      <c r="C62" s="135"/>
      <c r="D62" s="135"/>
      <c r="E62" s="135"/>
    </row>
    <row r="63" spans="1:5">
      <c r="A63" s="134" t="str">
        <f>IF(ISBLANK(Unapplied!F63),"",Unapplied!F63)</f>
        <v/>
      </c>
      <c r="B63" s="135" t="str">
        <f>IF(ISBLANK(Unapplied!G63),"",Unapplied!G63)</f>
        <v/>
      </c>
      <c r="C63" s="135"/>
      <c r="D63" s="135"/>
      <c r="E63" s="135"/>
    </row>
    <row r="64" spans="1:5">
      <c r="A64" s="134" t="str">
        <f>IF(ISBLANK(Unapplied!F64),"",Unapplied!F64)</f>
        <v/>
      </c>
      <c r="B64" s="135" t="str">
        <f>IF(ISBLANK(Unapplied!G64),"",Unapplied!G64)</f>
        <v/>
      </c>
      <c r="C64" s="135"/>
      <c r="D64" s="135"/>
      <c r="E64" s="135"/>
    </row>
    <row r="65" spans="1:5">
      <c r="A65" s="134" t="str">
        <f>IF(ISBLANK(Unapplied!F65),"",Unapplied!F65)</f>
        <v/>
      </c>
      <c r="B65" s="135" t="str">
        <f>IF(ISBLANK(Unapplied!G65),"",Unapplied!G65)</f>
        <v/>
      </c>
      <c r="C65" s="135"/>
      <c r="D65" s="135"/>
      <c r="E65" s="135"/>
    </row>
    <row r="66" spans="1:5">
      <c r="A66" s="134" t="str">
        <f>IF(ISBLANK(Unapplied!F66),"",Unapplied!F66)</f>
        <v/>
      </c>
      <c r="B66" s="135" t="str">
        <f>IF(ISBLANK(Unapplied!G66),"",Unapplied!G66)</f>
        <v/>
      </c>
      <c r="C66" s="135"/>
      <c r="D66" s="135"/>
      <c r="E66" s="135"/>
    </row>
    <row r="67" spans="1:5">
      <c r="A67" s="134" t="str">
        <f>IF(ISBLANK(Unapplied!F67),"",Unapplied!F67)</f>
        <v/>
      </c>
      <c r="B67" s="135" t="str">
        <f>IF(ISBLANK(Unapplied!G67),"",Unapplied!G67)</f>
        <v/>
      </c>
      <c r="C67" s="135"/>
      <c r="D67" s="135"/>
      <c r="E67" s="135"/>
    </row>
    <row r="68" spans="1:5">
      <c r="A68" s="134" t="str">
        <f>IF(ISBLANK(Unapplied!F68),"",Unapplied!F68)</f>
        <v/>
      </c>
      <c r="B68" s="135" t="str">
        <f>IF(ISBLANK(Unapplied!G68),"",Unapplied!G68)</f>
        <v/>
      </c>
      <c r="C68" s="135"/>
      <c r="D68" s="135"/>
      <c r="E68" s="135"/>
    </row>
    <row r="69" spans="1:5">
      <c r="A69" s="134" t="str">
        <f>IF(ISBLANK(Unapplied!F69),"",Unapplied!F69)</f>
        <v/>
      </c>
      <c r="B69" s="135" t="str">
        <f>IF(ISBLANK(Unapplied!G69),"",Unapplied!G69)</f>
        <v/>
      </c>
      <c r="C69" s="135"/>
      <c r="D69" s="135"/>
      <c r="E69" s="135"/>
    </row>
    <row r="70" spans="1:5">
      <c r="A70" s="134" t="str">
        <f>IF(ISBLANK(Unapplied!F70),"",Unapplied!F70)</f>
        <v/>
      </c>
      <c r="B70" s="135" t="str">
        <f>IF(ISBLANK(Unapplied!G70),"",Unapplied!G70)</f>
        <v/>
      </c>
      <c r="C70" s="135"/>
      <c r="D70" s="135"/>
      <c r="E70" s="135"/>
    </row>
    <row r="71" spans="1:5" s="138" customFormat="1" ht="16.5" thickBot="1">
      <c r="A71" s="136">
        <f>SUM(A41:A70)</f>
        <v>0</v>
      </c>
      <c r="B71" s="137" t="s">
        <v>32</v>
      </c>
      <c r="C71" s="137"/>
      <c r="D71" s="137"/>
      <c r="E71" s="137"/>
    </row>
    <row r="72" spans="1:5" ht="27.75" thickTop="1" thickBot="1">
      <c r="A72" s="139">
        <f>A38+A71</f>
        <v>0</v>
      </c>
      <c r="B72" s="140" t="s">
        <v>29</v>
      </c>
      <c r="C72" s="141"/>
      <c r="D72" s="141"/>
      <c r="E72" s="142"/>
    </row>
    <row r="73" spans="1:5" ht="34.5" thickBot="1">
      <c r="A73" s="143" t="s">
        <v>30</v>
      </c>
      <c r="B73" s="144"/>
      <c r="C73" s="144"/>
      <c r="D73" s="144"/>
      <c r="E73" s="145"/>
    </row>
    <row r="74" spans="1:5" ht="15">
      <c r="A74" s="124" t="s">
        <v>28</v>
      </c>
      <c r="B74" s="125" t="s">
        <v>43</v>
      </c>
      <c r="C74" s="125"/>
      <c r="D74" s="125"/>
      <c r="E74" s="124" t="s">
        <v>15</v>
      </c>
    </row>
    <row r="75" spans="1:5" s="146" customFormat="1">
      <c r="A75" s="154"/>
      <c r="B75" s="155"/>
      <c r="C75" s="155"/>
      <c r="D75" s="155"/>
      <c r="E75" s="156"/>
    </row>
    <row r="76" spans="1:5" s="146" customFormat="1">
      <c r="A76" s="154"/>
      <c r="B76" s="157"/>
      <c r="C76" s="157"/>
      <c r="D76" s="157"/>
      <c r="E76" s="156"/>
    </row>
    <row r="77" spans="1:5" s="146" customFormat="1">
      <c r="A77" s="154"/>
      <c r="B77" s="157"/>
      <c r="C77" s="157"/>
      <c r="D77" s="157"/>
      <c r="E77" s="156"/>
    </row>
    <row r="78" spans="1:5" s="146" customFormat="1">
      <c r="A78" s="154"/>
      <c r="B78" s="157"/>
      <c r="C78" s="157"/>
      <c r="D78" s="157"/>
      <c r="E78" s="156"/>
    </row>
    <row r="79" spans="1:5" s="146" customFormat="1">
      <c r="A79" s="154"/>
      <c r="B79" s="157"/>
      <c r="C79" s="157"/>
      <c r="D79" s="157"/>
      <c r="E79" s="156"/>
    </row>
    <row r="80" spans="1:5" s="146" customFormat="1">
      <c r="A80" s="154"/>
      <c r="B80" s="157"/>
      <c r="C80" s="157"/>
      <c r="D80" s="157"/>
      <c r="E80" s="156"/>
    </row>
    <row r="81" spans="1:5" s="146" customFormat="1">
      <c r="A81" s="154"/>
      <c r="B81" s="157"/>
      <c r="C81" s="157"/>
      <c r="D81" s="157"/>
      <c r="E81" s="156"/>
    </row>
    <row r="82" spans="1:5" s="146" customFormat="1">
      <c r="A82" s="154"/>
      <c r="B82" s="157"/>
      <c r="C82" s="157"/>
      <c r="D82" s="157"/>
      <c r="E82" s="156"/>
    </row>
    <row r="83" spans="1:5" s="146" customFormat="1">
      <c r="A83" s="154"/>
      <c r="B83" s="157"/>
      <c r="C83" s="157"/>
      <c r="D83" s="157"/>
      <c r="E83" s="156"/>
    </row>
    <row r="84" spans="1:5" s="146" customFormat="1" ht="13.5" thickBot="1">
      <c r="A84" s="154"/>
      <c r="B84" s="157"/>
      <c r="C84" s="157"/>
      <c r="D84" s="157"/>
      <c r="E84" s="156"/>
    </row>
    <row r="85" spans="1:5" ht="27" thickBot="1">
      <c r="A85" s="147">
        <f>SUM(A75:A84)</f>
        <v>0</v>
      </c>
      <c r="B85" s="148" t="s">
        <v>62</v>
      </c>
      <c r="C85" s="148"/>
      <c r="D85" s="148"/>
      <c r="E85" s="149"/>
    </row>
    <row r="86" spans="1:5" ht="18">
      <c r="A86" s="150" t="s">
        <v>33</v>
      </c>
      <c r="B86" s="151"/>
      <c r="C86" s="151"/>
      <c r="D86" s="151"/>
      <c r="E86" s="152"/>
    </row>
    <row r="87" spans="1:5" ht="15">
      <c r="A87" s="153" t="s">
        <v>56</v>
      </c>
      <c r="B87" s="153" t="s">
        <v>0</v>
      </c>
      <c r="C87" s="153" t="s">
        <v>34</v>
      </c>
      <c r="D87" s="153" t="s">
        <v>57</v>
      </c>
      <c r="E87" s="153" t="s">
        <v>58</v>
      </c>
    </row>
  </sheetData>
  <sheetProtection sheet="1" objects="1" scenarios="1"/>
  <mergeCells count="86">
    <mergeCell ref="A73:E73"/>
    <mergeCell ref="B74:D74"/>
    <mergeCell ref="B75:D75"/>
    <mergeCell ref="B85:E85"/>
    <mergeCell ref="B83:D83"/>
    <mergeCell ref="B84:D84"/>
    <mergeCell ref="B82:D82"/>
    <mergeCell ref="B76:D76"/>
    <mergeCell ref="B77:D77"/>
    <mergeCell ref="B78:D78"/>
    <mergeCell ref="B79:D79"/>
    <mergeCell ref="B80:D80"/>
    <mergeCell ref="B81:D81"/>
    <mergeCell ref="A86:E86"/>
    <mergeCell ref="A6:E6"/>
    <mergeCell ref="B7:D7"/>
    <mergeCell ref="B8:D8"/>
    <mergeCell ref="B9:D9"/>
    <mergeCell ref="B10:D10"/>
    <mergeCell ref="B11:D11"/>
    <mergeCell ref="B12:D12"/>
    <mergeCell ref="B13:D13"/>
    <mergeCell ref="B14:D14"/>
    <mergeCell ref="B15:D15"/>
    <mergeCell ref="B36:D36"/>
    <mergeCell ref="B37:D37"/>
    <mergeCell ref="A39:E39"/>
    <mergeCell ref="B40:E40"/>
    <mergeCell ref="B41:E41"/>
    <mergeCell ref="A1:E1"/>
    <mergeCell ref="B2:E2"/>
    <mergeCell ref="B3:E3"/>
    <mergeCell ref="B4:E4"/>
    <mergeCell ref="B5:E5"/>
    <mergeCell ref="B70:E70"/>
    <mergeCell ref="B71:E71"/>
    <mergeCell ref="B38:E38"/>
    <mergeCell ref="B72:E72"/>
    <mergeCell ref="B51:E51"/>
    <mergeCell ref="B52:E52"/>
    <mergeCell ref="B53:E53"/>
    <mergeCell ref="B68:E68"/>
    <mergeCell ref="B69:E69"/>
    <mergeCell ref="B42:E42"/>
    <mergeCell ref="B43:E43"/>
    <mergeCell ref="B44:E44"/>
    <mergeCell ref="B45:E45"/>
    <mergeCell ref="B50:E50"/>
    <mergeCell ref="B60:E60"/>
    <mergeCell ref="B61:E61"/>
    <mergeCell ref="B16:D16"/>
    <mergeCell ref="B17:D17"/>
    <mergeCell ref="B18:D18"/>
    <mergeCell ref="B19:D19"/>
    <mergeCell ref="B20:D20"/>
    <mergeCell ref="B33:D33"/>
    <mergeCell ref="B34:D34"/>
    <mergeCell ref="B35:D35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B46:E46"/>
    <mergeCell ref="B47:E47"/>
    <mergeCell ref="B48:E48"/>
    <mergeCell ref="B49:E49"/>
    <mergeCell ref="B67:E67"/>
    <mergeCell ref="B54:E54"/>
    <mergeCell ref="B55:E55"/>
    <mergeCell ref="B56:E56"/>
    <mergeCell ref="B57:E57"/>
    <mergeCell ref="B58:E58"/>
    <mergeCell ref="B59:E59"/>
    <mergeCell ref="B62:E62"/>
    <mergeCell ref="B63:E63"/>
    <mergeCell ref="B64:E64"/>
    <mergeCell ref="B65:E65"/>
    <mergeCell ref="B66:E66"/>
  </mergeCells>
  <phoneticPr fontId="6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40"/>
  <sheetViews>
    <sheetView workbookViewId="0">
      <selection activeCell="A3" sqref="A3"/>
    </sheetView>
  </sheetViews>
  <sheetFormatPr defaultColWidth="0" defaultRowHeight="12.75" zeroHeight="1"/>
  <cols>
    <col min="1" max="1" width="17.28515625" style="1" customWidth="1"/>
    <col min="2" max="2" width="30.85546875" style="164" customWidth="1"/>
    <col min="3" max="3" width="31.7109375" style="164" customWidth="1"/>
    <col min="4" max="16384" width="9.140625" style="2" hidden="1"/>
  </cols>
  <sheetData>
    <row r="1" spans="1:3" ht="24" thickBot="1">
      <c r="A1" s="158" t="s">
        <v>36</v>
      </c>
      <c r="B1" s="159"/>
      <c r="C1" s="160"/>
    </row>
    <row r="2" spans="1:3" ht="16.5" thickBot="1">
      <c r="A2" s="161" t="s">
        <v>14</v>
      </c>
      <c r="B2" s="162" t="s">
        <v>37</v>
      </c>
      <c r="C2" s="163" t="s">
        <v>38</v>
      </c>
    </row>
    <row r="3" spans="1:3">
      <c r="A3" s="28"/>
      <c r="B3" s="29"/>
      <c r="C3" s="29"/>
    </row>
    <row r="4" spans="1:3">
      <c r="A4" s="28"/>
      <c r="B4" s="29"/>
      <c r="C4" s="29"/>
    </row>
    <row r="5" spans="1:3">
      <c r="A5" s="28"/>
      <c r="B5" s="29"/>
      <c r="C5" s="29"/>
    </row>
    <row r="6" spans="1:3">
      <c r="A6" s="28"/>
      <c r="B6" s="29"/>
      <c r="C6" s="29"/>
    </row>
    <row r="7" spans="1:3">
      <c r="A7" s="28"/>
      <c r="B7" s="29"/>
      <c r="C7" s="29"/>
    </row>
    <row r="8" spans="1:3">
      <c r="A8" s="28"/>
      <c r="B8" s="29"/>
      <c r="C8" s="29"/>
    </row>
    <row r="9" spans="1:3">
      <c r="A9" s="28"/>
      <c r="B9" s="29"/>
      <c r="C9" s="29"/>
    </row>
    <row r="10" spans="1:3">
      <c r="A10" s="28"/>
      <c r="B10" s="29"/>
      <c r="C10" s="29"/>
    </row>
    <row r="11" spans="1:3">
      <c r="A11" s="28"/>
      <c r="B11" s="29"/>
      <c r="C11" s="29"/>
    </row>
    <row r="12" spans="1:3">
      <c r="A12" s="28"/>
      <c r="B12" s="29"/>
      <c r="C12" s="29"/>
    </row>
    <row r="13" spans="1:3">
      <c r="A13" s="28"/>
      <c r="B13" s="29"/>
      <c r="C13" s="29"/>
    </row>
    <row r="14" spans="1:3">
      <c r="A14" s="28"/>
      <c r="B14" s="29"/>
      <c r="C14" s="29"/>
    </row>
    <row r="15" spans="1:3">
      <c r="A15" s="28"/>
      <c r="B15" s="29"/>
      <c r="C15" s="29"/>
    </row>
    <row r="16" spans="1:3">
      <c r="A16" s="28"/>
      <c r="B16" s="29"/>
      <c r="C16" s="29"/>
    </row>
    <row r="17" spans="1:3">
      <c r="A17" s="28"/>
      <c r="B17" s="29"/>
      <c r="C17" s="29"/>
    </row>
    <row r="18" spans="1:3">
      <c r="A18" s="28"/>
      <c r="B18" s="29"/>
      <c r="C18" s="29"/>
    </row>
    <row r="19" spans="1:3">
      <c r="A19" s="28"/>
      <c r="B19" s="29"/>
      <c r="C19" s="29"/>
    </row>
    <row r="20" spans="1:3">
      <c r="A20" s="28"/>
      <c r="B20" s="29"/>
      <c r="C20" s="29"/>
    </row>
    <row r="21" spans="1:3">
      <c r="A21" s="28"/>
      <c r="B21" s="29"/>
      <c r="C21" s="29"/>
    </row>
    <row r="22" spans="1:3">
      <c r="A22" s="28"/>
      <c r="B22" s="29"/>
      <c r="C22" s="29"/>
    </row>
    <row r="23" spans="1:3">
      <c r="A23" s="28"/>
      <c r="B23" s="29"/>
      <c r="C23" s="29"/>
    </row>
    <row r="24" spans="1:3">
      <c r="A24" s="28"/>
      <c r="B24" s="29"/>
      <c r="C24" s="29"/>
    </row>
    <row r="25" spans="1:3">
      <c r="A25" s="28"/>
      <c r="B25" s="29"/>
      <c r="C25" s="29"/>
    </row>
    <row r="26" spans="1:3">
      <c r="A26" s="28"/>
      <c r="B26" s="29"/>
      <c r="C26" s="29"/>
    </row>
    <row r="27" spans="1:3">
      <c r="A27" s="28"/>
      <c r="B27" s="29"/>
      <c r="C27" s="29"/>
    </row>
    <row r="28" spans="1:3">
      <c r="A28" s="28"/>
      <c r="B28" s="29"/>
      <c r="C28" s="29"/>
    </row>
    <row r="29" spans="1:3">
      <c r="A29" s="28"/>
      <c r="B29" s="29"/>
      <c r="C29" s="29"/>
    </row>
    <row r="30" spans="1:3">
      <c r="A30" s="28"/>
      <c r="B30" s="29"/>
      <c r="C30" s="29"/>
    </row>
    <row r="31" spans="1:3">
      <c r="A31" s="28"/>
      <c r="B31" s="29"/>
      <c r="C31" s="29"/>
    </row>
    <row r="32" spans="1:3">
      <c r="A32" s="28"/>
      <c r="B32" s="29"/>
      <c r="C32" s="29"/>
    </row>
    <row r="33" hidden="1"/>
    <row r="34" hidden="1"/>
    <row r="35" hidden="1"/>
    <row r="36" hidden="1"/>
    <row r="37" hidden="1"/>
    <row r="38" hidden="1"/>
    <row r="39" hidden="1"/>
    <row r="40" hidden="1"/>
  </sheetData>
  <sheetProtection sheet="1" objects="1" scenarios="1"/>
  <customSheetViews>
    <customSheetView guid="{53B332ED-AAD8-4519-A3DC-AD9E833CAAC9}" showRuler="0">
      <selection activeCell="A5" sqref="A5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C1"/>
  </mergeCells>
  <phoneticPr fontId="6" type="noConversion"/>
  <pageMargins left="0.75" right="0.75" top="1" bottom="1" header="0.5" footer="0.5"/>
  <pageSetup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32"/>
  <sheetViews>
    <sheetView workbookViewId="0">
      <selection activeCell="A3" sqref="A3"/>
    </sheetView>
  </sheetViews>
  <sheetFormatPr defaultColWidth="0" defaultRowHeight="12.75"/>
  <cols>
    <col min="1" max="1" width="21.5703125" style="28" customWidth="1"/>
    <col min="2" max="2" width="20" style="27" customWidth="1"/>
    <col min="3" max="3" width="21.42578125" style="27" customWidth="1"/>
    <col min="4" max="4" width="22" style="27" customWidth="1"/>
    <col min="5" max="16384" width="9.140625" hidden="1"/>
  </cols>
  <sheetData>
    <row r="1" spans="1:4" ht="24" thickBot="1">
      <c r="A1" s="78" t="s">
        <v>63</v>
      </c>
      <c r="B1" s="79"/>
      <c r="C1" s="79"/>
      <c r="D1" s="80"/>
    </row>
    <row r="2" spans="1:4" ht="15.75">
      <c r="A2" s="10" t="s">
        <v>34</v>
      </c>
      <c r="B2" s="11" t="s">
        <v>39</v>
      </c>
      <c r="C2" s="11" t="s">
        <v>40</v>
      </c>
      <c r="D2" s="11" t="s">
        <v>41</v>
      </c>
    </row>
    <row r="3" spans="1:4">
      <c r="B3" s="28"/>
      <c r="C3" s="28"/>
      <c r="D3" s="28"/>
    </row>
    <row r="4" spans="1:4">
      <c r="B4" s="28"/>
      <c r="C4" s="28"/>
      <c r="D4" s="28"/>
    </row>
    <row r="5" spans="1:4">
      <c r="B5" s="28"/>
      <c r="C5" s="28"/>
      <c r="D5" s="28"/>
    </row>
    <row r="6" spans="1:4">
      <c r="B6" s="28"/>
      <c r="C6" s="28"/>
      <c r="D6" s="28"/>
    </row>
    <row r="7" spans="1:4">
      <c r="B7" s="28"/>
      <c r="C7" s="28"/>
      <c r="D7" s="28"/>
    </row>
    <row r="8" spans="1:4">
      <c r="B8" s="28"/>
      <c r="C8" s="28"/>
      <c r="D8" s="28"/>
    </row>
    <row r="9" spans="1:4">
      <c r="B9" s="28"/>
      <c r="C9" s="28"/>
      <c r="D9" s="28"/>
    </row>
    <row r="10" spans="1:4">
      <c r="B10" s="28"/>
      <c r="C10" s="28"/>
      <c r="D10" s="28"/>
    </row>
    <row r="11" spans="1:4">
      <c r="B11" s="28"/>
      <c r="C11" s="28"/>
      <c r="D11" s="28"/>
    </row>
    <row r="12" spans="1:4">
      <c r="B12" s="28"/>
      <c r="C12" s="28"/>
      <c r="D12" s="28"/>
    </row>
    <row r="13" spans="1:4">
      <c r="B13" s="28"/>
      <c r="C13" s="28"/>
      <c r="D13" s="28"/>
    </row>
    <row r="14" spans="1:4">
      <c r="B14" s="28"/>
      <c r="C14" s="28"/>
      <c r="D14" s="28"/>
    </row>
    <row r="15" spans="1:4">
      <c r="B15" s="28"/>
      <c r="C15" s="28"/>
      <c r="D15" s="28"/>
    </row>
    <row r="16" spans="1:4">
      <c r="B16" s="28"/>
      <c r="C16" s="28"/>
      <c r="D16" s="28"/>
    </row>
    <row r="17" spans="2:4">
      <c r="B17" s="28"/>
      <c r="C17" s="28"/>
      <c r="D17" s="28"/>
    </row>
    <row r="18" spans="2:4">
      <c r="B18" s="28"/>
      <c r="C18" s="28"/>
      <c r="D18" s="28"/>
    </row>
    <row r="19" spans="2:4">
      <c r="B19" s="28"/>
      <c r="C19" s="28"/>
      <c r="D19" s="28"/>
    </row>
    <row r="20" spans="2:4">
      <c r="B20" s="28"/>
      <c r="C20" s="28"/>
      <c r="D20" s="28"/>
    </row>
    <row r="21" spans="2:4">
      <c r="B21" s="28"/>
      <c r="C21" s="28"/>
      <c r="D21" s="28"/>
    </row>
    <row r="22" spans="2:4">
      <c r="B22" s="28"/>
      <c r="C22" s="28"/>
      <c r="D22" s="28"/>
    </row>
    <row r="23" spans="2:4">
      <c r="B23" s="28"/>
      <c r="C23" s="28"/>
      <c r="D23" s="28"/>
    </row>
    <row r="24" spans="2:4">
      <c r="B24" s="28"/>
      <c r="C24" s="28"/>
      <c r="D24" s="28"/>
    </row>
    <row r="25" spans="2:4">
      <c r="B25" s="28"/>
      <c r="C25" s="28"/>
      <c r="D25" s="28"/>
    </row>
    <row r="26" spans="2:4">
      <c r="B26" s="28"/>
      <c r="C26" s="28"/>
      <c r="D26" s="28"/>
    </row>
    <row r="27" spans="2:4">
      <c r="B27" s="28"/>
      <c r="C27" s="28"/>
      <c r="D27" s="28"/>
    </row>
    <row r="28" spans="2:4">
      <c r="B28" s="28"/>
      <c r="C28" s="28"/>
      <c r="D28" s="28"/>
    </row>
    <row r="29" spans="2:4">
      <c r="B29" s="28"/>
      <c r="C29" s="28"/>
      <c r="D29" s="28"/>
    </row>
    <row r="30" spans="2:4">
      <c r="B30" s="28"/>
      <c r="C30" s="28"/>
      <c r="D30" s="28"/>
    </row>
    <row r="31" spans="2:4">
      <c r="B31" s="28"/>
      <c r="C31" s="28"/>
      <c r="D31" s="28"/>
    </row>
    <row r="32" spans="2:4">
      <c r="B32" s="28"/>
      <c r="C32" s="28"/>
      <c r="D32" s="28"/>
    </row>
  </sheetData>
  <sheetProtection sheet="1" objects="1" scenarios="1"/>
  <customSheetViews>
    <customSheetView guid="{53B332ED-AAD8-4519-A3DC-AD9E833CAAC9}" showRuler="0">
      <selection activeCell="F16" sqref="F16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D1"/>
  </mergeCells>
  <phoneticPr fontId="6" type="noConversion"/>
  <pageMargins left="0.75" right="0.75" top="1" bottom="1" header="0.5" footer="0.5"/>
  <pageSetup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Unapplied</vt:lpstr>
      <vt:lpstr>1250-1500</vt:lpstr>
      <vt:lpstr>Wrong LBX</vt:lpstr>
      <vt:lpstr>Accounting</vt:lpstr>
      <vt:lpstr>Wrong Bank Account</vt:lpstr>
      <vt:lpstr>ACH Not Applied</vt:lpstr>
      <vt:lpstr>meow</vt:lpstr>
      <vt:lpstr>Unapplied!Print_Area</vt:lpstr>
    </vt:vector>
  </TitlesOfParts>
  <Company>ANIXTER S'PORE PTE.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cp:lastPrinted>2011-09-19T19:37:50Z</cp:lastPrinted>
  <dcterms:created xsi:type="dcterms:W3CDTF">2000-01-03T13:38:46Z</dcterms:created>
  <dcterms:modified xsi:type="dcterms:W3CDTF">2015-05-12T20:02:36Z</dcterms:modified>
</cp:coreProperties>
</file>