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tables/table2.xml" ContentType="application/vnd.openxmlformats-officedocument.spreadsheetml.table+xml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comments2.xml" ContentType="application/vnd.openxmlformats-officedocument.spreadsheetml.comments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/>
  <workbookPr defaultThemeVersion="124226"/>
  <bookViews>
    <workbookView xWindow="0" yWindow="120" windowWidth="19155" windowHeight="11820"/>
  </bookViews>
  <sheets>
    <sheet name="CAD PAYVISION-MES Consolidated" sheetId="1" r:id="rId1"/>
    <sheet name="MES" sheetId="2" r:id="rId2"/>
  </sheets>
  <calcPr calcId="125725"/>
</workbook>
</file>

<file path=xl/calcChain.xml><?xml version="1.0" encoding="utf-8"?>
<calcChain xmlns="http://schemas.openxmlformats.org/spreadsheetml/2006/main">
  <c r="L4" i="1"/>
  <c r="X4" s="1" a="1"/>
  <c r="X4" s="1"/>
  <c r="M4"/>
  <c r="B3" i="2"/>
  <c r="W4" i="1" l="1" a="1"/>
  <c r="W4" s="1"/>
  <c r="N4" a="1"/>
  <c r="N4" s="1"/>
  <c r="P4" a="1"/>
  <c r="P4" s="1"/>
  <c r="R4" a="1"/>
  <c r="R4" s="1"/>
  <c r="T4" a="1"/>
  <c r="T4" s="1"/>
  <c r="V4" a="1"/>
  <c r="V4" s="1"/>
  <c r="O4" a="1"/>
  <c r="O4" s="1"/>
  <c r="Q4" a="1"/>
  <c r="Q4" s="1"/>
  <c r="S4" a="1"/>
  <c r="S4" s="1"/>
  <c r="U4" a="1"/>
  <c r="U4" s="1"/>
  <c r="J4"/>
  <c r="F2"/>
</calcChain>
</file>

<file path=xl/comments1.xml><?xml version="1.0" encoding="utf-8"?>
<comments xmlns="http://schemas.openxmlformats.org/spreadsheetml/2006/main">
  <authors>
    <author>e229038</author>
  </authors>
  <commentList>
    <comment ref="F2" authorId="0">
      <text>
        <r>
          <rPr>
            <b/>
            <sz val="9"/>
            <color indexed="81"/>
            <rFont val="Tahoma"/>
            <family val="2"/>
          </rPr>
          <t>e229038:</t>
        </r>
        <r>
          <rPr>
            <sz val="9"/>
            <color indexed="81"/>
            <rFont val="Tahoma"/>
            <family val="2"/>
          </rPr>
          <t xml:space="preserve">
If this says "YES" then you have to find and delete the duplicates that don't belong in the MES tab.</t>
        </r>
      </text>
    </comment>
    <comment ref="A4" authorId="0">
      <text>
        <r>
          <rPr>
            <b/>
            <sz val="9"/>
            <color indexed="81"/>
            <rFont val="Tahoma"/>
            <family val="2"/>
          </rPr>
          <t>e229038:</t>
        </r>
        <r>
          <rPr>
            <sz val="9"/>
            <color indexed="81"/>
            <rFont val="Tahoma"/>
            <family val="2"/>
          </rPr>
          <t xml:space="preserve">
Paste your Payvision data after clicking here. The rows will automatically be added to this table.</t>
        </r>
      </text>
    </comment>
  </commentList>
</comments>
</file>

<file path=xl/comments2.xml><?xml version="1.0" encoding="utf-8"?>
<comments xmlns="http://schemas.openxmlformats.org/spreadsheetml/2006/main">
  <authors>
    <author>e229038</author>
  </authors>
  <commentList>
    <comment ref="C3" authorId="0">
      <text>
        <r>
          <rPr>
            <b/>
            <sz val="9"/>
            <color indexed="81"/>
            <rFont val="Tahoma"/>
            <family val="2"/>
          </rPr>
          <t>e229038:</t>
        </r>
        <r>
          <rPr>
            <sz val="9"/>
            <color indexed="81"/>
            <rFont val="Tahoma"/>
            <family val="2"/>
          </rPr>
          <t xml:space="preserve">
Paste your MES data after clicking here. The rows will automatically be added to this table.</t>
        </r>
      </text>
    </comment>
  </commentList>
</comments>
</file>

<file path=xl/sharedStrings.xml><?xml version="1.0" encoding="utf-8"?>
<sst xmlns="http://schemas.openxmlformats.org/spreadsheetml/2006/main" count="43" uniqueCount="34">
  <si>
    <t>Date</t>
  </si>
  <si>
    <t>Member</t>
  </si>
  <si>
    <t>Card Type</t>
  </si>
  <si>
    <t>Type</t>
  </si>
  <si>
    <t>Result</t>
  </si>
  <si>
    <t>Currency</t>
  </si>
  <si>
    <t>Tracking Code</t>
  </si>
  <si>
    <t>Trans. ID</t>
  </si>
  <si>
    <t>Legend:</t>
  </si>
  <si>
    <t>Manual Entry Columns</t>
  </si>
  <si>
    <t>Auto-formula Columns (don't touch)</t>
  </si>
  <si>
    <t>Tran Date</t>
  </si>
  <si>
    <t>Card Number</t>
  </si>
  <si>
    <t>Client Ref Number</t>
  </si>
  <si>
    <t>Purchase Identifier</t>
  </si>
  <si>
    <t>Trident Tran ID</t>
  </si>
  <si>
    <t>Auth Code</t>
  </si>
  <si>
    <t>Entry Mode</t>
  </si>
  <si>
    <t>Tran Amount</t>
  </si>
  <si>
    <t>Status</t>
  </si>
  <si>
    <t>Amount</t>
  </si>
  <si>
    <t>Tran Card Type</t>
  </si>
  <si>
    <t>Reference number</t>
  </si>
  <si>
    <t>Purchase ID</t>
  </si>
  <si>
    <t>Entry mode</t>
  </si>
  <si>
    <t>Duplicate Check</t>
  </si>
  <si>
    <t>Duplicates in Tran Amount? (CAD check only) -&gt;</t>
  </si>
  <si>
    <t>MES Data</t>
  </si>
  <si>
    <t>Reference Number</t>
  </si>
  <si>
    <t>Duplicate?</t>
  </si>
  <si>
    <t>Override</t>
  </si>
  <si>
    <t>Proper Purchase ID?</t>
  </si>
  <si>
    <t>Canada PAYVISION-MES</t>
  </si>
  <si>
    <t>Matching Track #</t>
  </si>
</sst>
</file>

<file path=xl/styles.xml><?xml version="1.0" encoding="utf-8"?>
<styleSheet xmlns="http://schemas.openxmlformats.org/spreadsheetml/2006/main">
  <fonts count="25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6"/>
      <color theme="0"/>
      <name val="Calibri"/>
      <family val="2"/>
      <scheme val="minor"/>
    </font>
    <font>
      <sz val="20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24"/>
      <color theme="0"/>
      <name val="Calibri"/>
      <family val="2"/>
      <scheme val="minor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7030A0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2">
    <xf numFmtId="0" fontId="0" fillId="0" borderId="0" xfId="0"/>
    <xf numFmtId="0" fontId="0" fillId="0" borderId="0" xfId="0" applyAlignment="1">
      <alignment horizontal="center"/>
    </xf>
    <xf numFmtId="0" fontId="17" fillId="34" borderId="0" xfId="0" applyFont="1" applyFill="1" applyAlignment="1">
      <alignment horizontal="center"/>
    </xf>
    <xf numFmtId="0" fontId="18" fillId="33" borderId="11" xfId="0" applyFont="1" applyFill="1" applyBorder="1" applyAlignment="1">
      <alignment horizontal="center" vertical="center"/>
    </xf>
    <xf numFmtId="0" fontId="17" fillId="35" borderId="0" xfId="0" applyFont="1" applyFill="1" applyAlignment="1">
      <alignment horizontal="center"/>
    </xf>
    <xf numFmtId="0" fontId="0" fillId="0" borderId="0" xfId="0"/>
    <xf numFmtId="0" fontId="0" fillId="0" borderId="0" xfId="0" applyAlignment="1"/>
    <xf numFmtId="14" fontId="0" fillId="0" borderId="0" xfId="0" applyNumberFormat="1" applyAlignment="1">
      <alignment horizontal="center"/>
    </xf>
    <xf numFmtId="2" fontId="17" fillId="34" borderId="0" xfId="0" applyNumberFormat="1" applyFont="1" applyFill="1" applyAlignment="1">
      <alignment horizontal="center"/>
    </xf>
    <xf numFmtId="0" fontId="0" fillId="0" borderId="0" xfId="0"/>
    <xf numFmtId="0" fontId="0" fillId="0" borderId="0" xfId="0"/>
    <xf numFmtId="0" fontId="0" fillId="0" borderId="0" xfId="0" applyNumberFormat="1" applyAlignment="1">
      <alignment horizontal="center"/>
    </xf>
    <xf numFmtId="0" fontId="21" fillId="34" borderId="10" xfId="0" applyFont="1" applyFill="1" applyBorder="1" applyAlignment="1">
      <alignment horizontal="center"/>
    </xf>
    <xf numFmtId="0" fontId="21" fillId="34" borderId="11" xfId="0" applyFont="1" applyFill="1" applyBorder="1" applyAlignment="1">
      <alignment horizontal="center"/>
    </xf>
    <xf numFmtId="0" fontId="21" fillId="34" borderId="12" xfId="0" applyFont="1" applyFill="1" applyBorder="1" applyAlignment="1">
      <alignment horizontal="center"/>
    </xf>
    <xf numFmtId="0" fontId="19" fillId="34" borderId="13" xfId="0" applyFont="1" applyFill="1" applyBorder="1" applyAlignment="1">
      <alignment horizontal="center" vertical="center"/>
    </xf>
    <xf numFmtId="0" fontId="19" fillId="34" borderId="14" xfId="0" applyFont="1" applyFill="1" applyBorder="1" applyAlignment="1">
      <alignment horizontal="center" vertical="center"/>
    </xf>
    <xf numFmtId="0" fontId="18" fillId="35" borderId="11" xfId="0" applyFont="1" applyFill="1" applyBorder="1" applyAlignment="1">
      <alignment horizontal="center" vertical="center"/>
    </xf>
    <xf numFmtId="0" fontId="20" fillId="36" borderId="10" xfId="0" applyFont="1" applyFill="1" applyBorder="1" applyAlignment="1">
      <alignment horizontal="center"/>
    </xf>
    <xf numFmtId="0" fontId="20" fillId="36" borderId="11" xfId="0" applyFont="1" applyFill="1" applyBorder="1" applyAlignment="1">
      <alignment horizontal="center"/>
    </xf>
    <xf numFmtId="0" fontId="18" fillId="34" borderId="11" xfId="0" applyFont="1" applyFill="1" applyBorder="1" applyAlignment="1">
      <alignment horizontal="center" vertical="center"/>
    </xf>
    <xf numFmtId="0" fontId="24" fillId="36" borderId="0" xfId="0" applyFont="1" applyFill="1" applyAlignment="1">
      <alignment horizontal="center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33">
    <dxf>
      <alignment horizontal="center" vertical="bottom" textRotation="0" wrapText="0" indent="0" relativeIndent="255" justifyLastLine="0" shrinkToFit="0" mergeCell="0" readingOrder="0"/>
    </dxf>
    <dxf>
      <alignment horizontal="center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rgb="FF0070C0"/>
        </patternFill>
      </fill>
      <alignment horizontal="center" vertical="bottom" textRotation="0" wrapText="0" indent="0" relativeIndent="255" justifyLastLine="0" shrinkToFit="0" mergeCell="0" readingOrder="0"/>
    </dxf>
    <dxf>
      <fill>
        <patternFill>
          <bgColor rgb="FFFFFF00"/>
        </patternFill>
      </fill>
    </dxf>
    <dxf>
      <font>
        <color theme="0"/>
      </font>
      <fill>
        <patternFill>
          <bgColor rgb="FF00B050"/>
        </patternFill>
      </fill>
    </dxf>
    <dxf>
      <numFmt numFmtId="0" formatCode="General"/>
      <alignment horizontal="center" vertical="bottom" textRotation="0" wrapText="0" indent="0" relativeIndent="0" justifyLastLine="0" shrinkToFit="0" mergeCell="0" readingOrder="0"/>
    </dxf>
    <dxf>
      <numFmt numFmtId="0" formatCode="General"/>
      <alignment horizontal="center" vertical="bottom" textRotation="0" wrapText="0" indent="0" relativeIndent="0" justifyLastLine="0" shrinkToFit="0" mergeCell="0" readingOrder="0"/>
    </dxf>
    <dxf>
      <numFmt numFmtId="0" formatCode="General"/>
      <alignment horizontal="center" vertical="bottom" textRotation="0" wrapText="0" indent="0" relativeIndent="0" justifyLastLine="0" shrinkToFit="0" mergeCell="0" readingOrder="0"/>
    </dxf>
    <dxf>
      <numFmt numFmtId="0" formatCode="General"/>
      <alignment horizontal="center" vertical="bottom" textRotation="0" wrapText="0" indent="0" relativeIndent="0" justifyLastLine="0" shrinkToFit="0" mergeCell="0" readingOrder="0"/>
    </dxf>
    <dxf>
      <numFmt numFmtId="0" formatCode="General"/>
      <alignment horizontal="center" vertical="bottom" textRotation="0" wrapText="0" indent="0" relativeIndent="0" justifyLastLine="0" shrinkToFit="0" mergeCell="0" readingOrder="0"/>
    </dxf>
    <dxf>
      <numFmt numFmtId="0" formatCode="General"/>
      <alignment horizontal="center" vertical="bottom" textRotation="0" wrapText="0" indent="0" relativeIndent="0" justifyLastLine="0" shrinkToFit="0" mergeCell="0" readingOrder="0"/>
    </dxf>
    <dxf>
      <numFmt numFmtId="0" formatCode="General"/>
      <alignment horizontal="center" vertical="bottom" textRotation="0" wrapText="0" indent="0" relativeIndent="0" justifyLastLine="0" shrinkToFit="0" mergeCell="0" readingOrder="0"/>
    </dxf>
    <dxf>
      <numFmt numFmtId="0" formatCode="General"/>
      <alignment horizontal="center" vertical="bottom" textRotation="0" wrapText="0" indent="0" relativeIndent="0" justifyLastLine="0" shrinkToFit="0" mergeCell="0" readingOrder="0"/>
    </dxf>
    <dxf>
      <numFmt numFmtId="0" formatCode="General"/>
      <alignment horizontal="center" vertical="bottom" textRotation="0" wrapText="0" indent="0" relativeIndent="0" justifyLastLine="0" shrinkToFit="0" mergeCell="0" readingOrder="0"/>
    </dxf>
    <dxf>
      <numFmt numFmtId="0" formatCode="General"/>
      <alignment horizontal="center" vertical="bottom" textRotation="0" wrapText="0" indent="0" relativeIndent="0" justifyLastLine="0" shrinkToFit="0" mergeCell="0" readingOrder="0"/>
    </dxf>
    <dxf>
      <numFmt numFmtId="19" formatCode="m/d/yyyy"/>
      <alignment horizontal="center" vertical="bottom" textRotation="0" wrapText="0" indent="0" relativeIndent="255" justifyLastLine="0" shrinkToFit="0" mergeCell="0" readingOrder="0"/>
    </dxf>
    <dxf>
      <alignment horizontal="center" vertical="bottom" textRotation="0" wrapText="0" indent="0" relativeIndent="255" justifyLastLine="0" shrinkToFit="0" mergeCell="0" readingOrder="0"/>
    </dxf>
    <dxf>
      <alignment horizontal="center" vertical="bottom" textRotation="0" wrapText="0" indent="0" relativeIndent="255" justifyLastLine="0" shrinkToFit="0" mergeCell="0" readingOrder="0"/>
    </dxf>
    <dxf>
      <alignment horizontal="center" vertical="bottom" textRotation="0" wrapText="0" indent="0" relativeIndent="255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rgb="FF00B050"/>
        </patternFill>
      </fill>
      <alignment horizontal="center" vertical="bottom" textRotation="0" wrapText="0" indent="0" relativeIndent="255" justifyLastLine="0" shrinkToFit="0" mergeCell="0" readingOrder="0"/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ont>
        <condense val="0"/>
        <extend val="0"/>
        <color rgb="FF9C6500"/>
      </font>
      <fill>
        <patternFill>
          <bgColor rgb="FFFFFF00"/>
        </patternFill>
      </fill>
    </dxf>
    <dxf>
      <border>
        <left style="thin">
          <color theme="1"/>
        </left>
      </border>
    </dxf>
    <dxf>
      <border>
        <left style="thin">
          <color theme="1"/>
        </left>
      </border>
    </dxf>
    <dxf>
      <border>
        <top style="thin">
          <color theme="1"/>
        </top>
      </border>
    </dxf>
    <dxf>
      <border>
        <top style="thin">
          <color theme="1"/>
        </top>
      </border>
    </dxf>
    <dxf>
      <font>
        <b/>
        <color theme="1"/>
      </font>
    </dxf>
    <dxf>
      <font>
        <b/>
        <color theme="1"/>
      </font>
    </dxf>
    <dxf>
      <font>
        <b/>
        <color theme="1"/>
      </font>
      <border>
        <top style="double">
          <color theme="1"/>
        </top>
      </border>
    </dxf>
    <dxf>
      <font>
        <b/>
        <color theme="0"/>
      </font>
      <fill>
        <patternFill patternType="solid">
          <fgColor theme="1"/>
          <bgColor theme="1"/>
        </patternFill>
      </fill>
    </dxf>
    <dxf>
      <font>
        <color theme="1"/>
      </font>
      <border>
        <left style="thick">
          <color theme="1"/>
        </left>
        <right style="thick">
          <color theme="1"/>
        </right>
        <top style="thick">
          <color theme="1"/>
        </top>
        <bottom style="thick">
          <color theme="1"/>
        </bottom>
      </border>
    </dxf>
  </dxfs>
  <tableStyles count="1" defaultTableStyle="TableStyleMedium9" defaultPivotStyle="PivotStyleLight16">
    <tableStyle name="TableStyleLight8 2" pivot="0" count="9">
      <tableStyleElement type="wholeTable" dxfId="32"/>
      <tableStyleElement type="headerRow" dxfId="31"/>
      <tableStyleElement type="totalRow" dxfId="30"/>
      <tableStyleElement type="firstColumn" dxfId="29"/>
      <tableStyleElement type="lastColumn" dxfId="28"/>
      <tableStyleElement type="firstRowStripe" dxfId="27"/>
      <tableStyleElement type="secondRowStripe" dxfId="26"/>
      <tableStyleElement type="firstColumnStripe" dxfId="25"/>
      <tableStyleElement type="secondColumnStripe" dxfId="24"/>
    </tableStyle>
  </tableStyles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id="1" name="PAYVISION" displayName="PAYVISION" ref="A3:X4" totalsRowShown="0" headerRowDxfId="19">
  <autoFilter ref="A3:X4">
    <filterColumn colId="9"/>
    <filterColumn colId="10"/>
    <filterColumn colId="11"/>
    <filterColumn colId="16"/>
  </autoFilter>
  <tableColumns count="24">
    <tableColumn id="1" name="Date"/>
    <tableColumn id="2" name="Member"/>
    <tableColumn id="3" name="Card Type"/>
    <tableColumn id="4" name="Type"/>
    <tableColumn id="5" name="Result"/>
    <tableColumn id="6" name="Amount"/>
    <tableColumn id="7" name="Currency"/>
    <tableColumn id="8" name="Tracking Code"/>
    <tableColumn id="9" name="Trans. ID"/>
    <tableColumn id="24" name="Proper Purchase ID?" dataDxfId="18">
      <calculatedColumnFormula>IF(PAYVISION[[#This Row],[Purchase Identifier]]="","",IF(AND(MID(PAYVISION[[#This Row],[Purchase Identifier]],7,1)="N",LEN(PAYVISION[[#This Row],[Purchase Identifier]])=16),"YES","NO"))</calculatedColumnFormula>
    </tableColumn>
    <tableColumn id="23" name="Override" dataDxfId="17"/>
    <tableColumn id="22" name="Matching Track #" dataDxfId="16">
      <calculatedColumnFormula>IF(ISBLANK(PAYVISION[[#This Row],[Tracking Code]]),"",IF(COUNTIF(MES[Trident Tran ID],PAYVISION[[#This Row],[Tracking Code]])&gt;1,"Duplicate Tracking #s",IF(COUNTIF(MES[Trident Tran ID],PAYVISION[[#This Row],[Tracking Code]])=1,"Match Found","Not Matching")))</calculatedColumnFormula>
    </tableColumn>
    <tableColumn id="10" name="Duplicate?">
      <calculatedColumnFormula>IF(ISBLANK(PAYVISION[[#This Row],[Amount]]),"",IF(COUNTIFS(MES[Tran Amount],"CAD "&amp;TEXT(PAYVISION[[#This Row],[Amount]],"#,##0.00"),MES[Status],"settled ")&gt;1,"YES",IF(COUNTIFS(MES[Tran Amount],"CAD "&amp;TEXT(PAYVISION[[#This Row],[Amount]],"#,##0.00"),MES[Status],"settled ")=0,"Not Found","Unique")))</calculatedColumnFormula>
    </tableColumn>
    <tableColumn id="11" name="Tran Date" dataDxfId="15">
      <calculatedColumnFormula array="1">IF(PAYVISION[[#This Row],[Override]]="",
     IF(PAYVISION[[#This Row],[Duplicate?]]="Unique",
          INDEX(MES[], MATCH(1,(MES[Status]="settled ")*(MES[Tran Amount]="CAD "&amp;TEXT(PAYVISION[[#This Row],[Amount]],"#,##0.00")),0),3),
          IF(PAYVISION[[#This Row],[Matching Track '#]]="MATCH FOUND",
               INDEX(MES[],MATCH(1,(MES[Status]="settled ")*(MES[Trident Tran ID]=PAYVISION[[#This Row],[Tracking Code]]),0),3),
               ""
          )
     ),
     INDEX(MES[],MATCH(1,(MES[Override]=[Override]),0),3)
)</calculatedColumnFormula>
    </tableColumn>
    <tableColumn id="12" name="Tran Card Type" dataDxfId="14">
      <calculatedColumnFormula array="1">IF(PAYVISION[[#This Row],[Override]]="",
     IF(PAYVISION[[#This Row],[Duplicate?]]="Unique",
          INDEX(MES[], MATCH(1,(MES[Status]="settled ")*(MES[Tran Amount]="CAD "&amp;TEXT(PAYVISION[[#This Row],[Amount]],"#,##0.00")),0),4),
          IF(PAYVISION[[#This Row],[Matching Track '#]]="MATCH FOUND",
               INDEX(MES[],MATCH(1,(MES[Status]="settled ")*(MES[Trident Tran ID]=PAYVISION[[#This Row],[Tracking Code]]),0),4),
               ""
          )
     ),
     INDEX(MES[],MATCH(1,(MES[Override]=[Override]),0),4)
)</calculatedColumnFormula>
    </tableColumn>
    <tableColumn id="13" name="Card Number" dataDxfId="13">
      <calculatedColumnFormula array="1">IF(PAYVISION[[#This Row],[Override]]="",
     IF(PAYVISION[[#This Row],[Duplicate?]]="Unique",
          INDEX(MES[], MATCH(1,(MES[Status]="settled ")*(MES[Tran Amount]="CAD "&amp;TEXT(PAYVISION[[#This Row],[Amount]],"#,##0.00")),0),5),
          IF(PAYVISION[[#This Row],[Matching Track '#]]="MATCH FOUND",
               INDEX(MES[],MATCH(1,(MES[Status]="settled ")*(MES[Trident Tran ID]=PAYVISION[[#This Row],[Tracking Code]]),0),5),
               ""
          )
     ),
     INDEX(MES[],MATCH(1,(MES[Override]=[Override]),0),5)
)</calculatedColumnFormula>
    </tableColumn>
    <tableColumn id="21" name="Reference Number" dataDxfId="12">
      <calculatedColumnFormula array="1">IF(PAYVISION[[#This Row],[Override]]="",
     IF(PAYVISION[[#This Row],[Duplicate?]]="Unique",
          INDEX(MES[], MATCH(1,(MES[Status]="settled ")*(MES[Tran Amount]="CAD "&amp;TEXT(PAYVISION[[#This Row],[Amount]],"#,##0.00")),0),6),
          IF(PAYVISION[[#This Row],[Matching Track '#]]="MATCH FOUND",
               INDEX(MES[],MATCH(1,(MES[Status]="settled ")*(MES[Trident Tran ID]=PAYVISION[[#This Row],[Tracking Code]]),0),6),
               ""
          )
     ),
     INDEX(MES[],MATCH(1,(MES[Override]=[Override]),0),6)
)</calculatedColumnFormula>
    </tableColumn>
    <tableColumn id="14" name="Client Ref Number" dataDxfId="11">
      <calculatedColumnFormula array="1">IF(PAYVISION[[#This Row],[Override]]="",
     IF(PAYVISION[[#This Row],[Duplicate?]]="Unique",
          INDEX(MES[], MATCH(1,(MES[Status]="settled ")*(MES[Tran Amount]="CAD "&amp;TEXT(PAYVISION[[#This Row],[Amount]],"#,##0.00")),0),7),
          IF(PAYVISION[[#This Row],[Matching Track '#]]="MATCH FOUND",
               INDEX(MES[],MATCH(1,(MES[Status]="settled ")*(MES[Trident Tran ID]=PAYVISION[[#This Row],[Tracking Code]]),0),7),
               ""
          )
     ),
     INDEX(MES[],MATCH(1,(MES[Override]=[Override]),0),7)
)</calculatedColumnFormula>
    </tableColumn>
    <tableColumn id="15" name="Purchase Identifier" dataDxfId="10">
      <calculatedColumnFormula array="1">IF(PAYVISION[[#This Row],[Override]]="",
     IF(PAYVISION[[#This Row],[Duplicate?]]="Unique",
          INDEX(MES[], MATCH(1,(MES[Status]="settled ")*(MES[Tran Amount]="CAD "&amp;TEXT(PAYVISION[[#This Row],[Amount]],"#,##0.00")),0),8),
          IF(PAYVISION[[#This Row],[Matching Track '#]]="MATCH FOUND",
               INDEX(MES[],MATCH(1,(MES[Status]="settled ")*(MES[Trident Tran ID]=PAYVISION[[#This Row],[Tracking Code]]),0),8),
               ""
          )
     ),
     INDEX(MES[],MATCH(1,(MES[Override]=[Override]),0),8)
)</calculatedColumnFormula>
    </tableColumn>
    <tableColumn id="16" name="Trident Tran ID" dataDxfId="9">
      <calculatedColumnFormula array="1">IF(PAYVISION[[#This Row],[Override]]="",
     IF(PAYVISION[[#This Row],[Duplicate?]]="Unique",
          INDEX(MES[], MATCH(1,(MES[Status]="settled ")*(MES[Tran Amount]="CAD "&amp;TEXT(PAYVISION[[#This Row],[Amount]],"#,##0.00")),0),9),
          IF(PAYVISION[[#This Row],[Matching Track '#]]="MATCH FOUND",
               INDEX(MES[],MATCH(1,(MES[Status]="settled ")*(MES[Trident Tran ID]=PAYVISION[[#This Row],[Tracking Code]]),0),9),
               ""
          )
     ),
     INDEX(MES[],MATCH(1,(MES[Override]=[Override]),0),9)
)</calculatedColumnFormula>
    </tableColumn>
    <tableColumn id="17" name="Auth Code" dataDxfId="8">
      <calculatedColumnFormula array="1">IF(PAYVISION[[#This Row],[Override]]="",
     IF(PAYVISION[[#This Row],[Duplicate?]]="Unique",
          INDEX(MES[], MATCH(1,(MES[Status]="settled ")*(MES[Tran Amount]="CAD "&amp;TEXT(PAYVISION[[#This Row],[Amount]],"#,##0.00")),0),10),
          IF(PAYVISION[[#This Row],[Matching Track '#]]="MATCH FOUND",
               INDEX(MES[],MATCH(1,(MES[Status]="settled ")*(MES[Trident Tran ID]=PAYVISION[[#This Row],[Tracking Code]]),0),10),
               ""
          )
     ),
     INDEX(MES[],MATCH(1,(MES[Override]=[Override]),0),10)
)</calculatedColumnFormula>
    </tableColumn>
    <tableColumn id="18" name="Entry Mode" dataDxfId="7">
      <calculatedColumnFormula array="1">IF(PAYVISION[[#This Row],[Override]]="",
     IF(PAYVISION[[#This Row],[Duplicate?]]="Unique",
          INDEX(MES[], MATCH(1,(MES[Status]="settled ")*(MES[Tran Amount]="CAD "&amp;TEXT(PAYVISION[[#This Row],[Amount]],"#,##0.00")),0),11),
          IF(PAYVISION[[#This Row],[Matching Track '#]]="MATCH FOUND",
               INDEX(MES[],MATCH(1,(MES[Status]="settled ")*(MES[Trident Tran ID]=PAYVISION[[#This Row],[Tracking Code]]),0),11),
               ""
          )
     ),
     INDEX(MES[],MATCH(1,(MES[Override]=[Override]),0),11)
)</calculatedColumnFormula>
    </tableColumn>
    <tableColumn id="19" name="Tran Amount" dataDxfId="6">
      <calculatedColumnFormula array="1">IF(PAYVISION[[#This Row],[Override]]="",
     IF(PAYVISION[[#This Row],[Duplicate?]]="Unique",
          INDEX(MES[], MATCH(1,(MES[Status]="settled ")*(MES[Tran Amount]="CAD "&amp;TEXT(PAYVISION[[#This Row],[Amount]],"#,##0.00")),0),12),
          IF(PAYVISION[[#This Row],[Matching Track '#]]="MATCH FOUND",
               INDEX(MES[],MATCH(1,(MES[Status]="settled ")*(MES[Trident Tran ID]=PAYVISION[[#This Row],[Tracking Code]]),0),12),
               ""
          )
     ),
     INDEX(MES[],MATCH(1,(MES[Override]=[Override]),0),12)
)</calculatedColumnFormula>
    </tableColumn>
    <tableColumn id="20" name="Status" dataDxfId="5">
      <calculatedColumnFormula array="1">IF(PAYVISION[[#This Row],[Override]]="",
     IF(PAYVISION[[#This Row],[Duplicate?]]="Unique",
          INDEX(MES[], MATCH(1,(MES[Status]="settled ")*(MES[Tran Amount]="CAD "&amp;TEXT(PAYVISION[[#This Row],[Amount]],"#,##0.00")),0),13),
          IF(PAYVISION[[#This Row],[Matching Track '#]]="MATCH FOUND",
               INDEX(MES[],MATCH(1,(MES[Status]="settled ")*(MES[Trident Tran ID]=PAYVISION[[#This Row],[Tracking Code]]),0),13),
               ""
          )
     ),
     INDEX(MES[],MATCH(1,(MES[Override]=[Override]),0),13)
)</calculatedColumnFormula>
    </tableColumn>
  </tableColumns>
  <tableStyleInfo name="TableStyleLight8 2" showFirstColumn="0" showLastColumn="0" showRowStripes="0" showColumnStripes="0"/>
</table>
</file>

<file path=xl/tables/table2.xml><?xml version="1.0" encoding="utf-8"?>
<table xmlns="http://schemas.openxmlformats.org/spreadsheetml/2006/main" id="2" name="MES" displayName="MES" ref="A2:M3" totalsRowShown="0" headerRowDxfId="2">
  <autoFilter ref="A2:M3">
    <filterColumn colId="0"/>
    <filterColumn colId="1"/>
  </autoFilter>
  <tableColumns count="13">
    <tableColumn id="13" name="Override" dataDxfId="1"/>
    <tableColumn id="12" name="Duplicate Check" dataDxfId="0">
      <calculatedColumnFormula>IFERROR(IF(SEARCH("CAD",MES[[#This Row],[Tran Amount]]),IF(COUNTIF([Tran Amount],MES[[#This Row],[Tran Amount]])&gt;1,"YES","Unique"),""),"")</calculatedColumnFormula>
    </tableColumn>
    <tableColumn id="1" name="Tran Date"/>
    <tableColumn id="2" name="Card Type"/>
    <tableColumn id="3" name="Card Number"/>
    <tableColumn id="4" name="Reference number"/>
    <tableColumn id="5" name="Client Ref Number"/>
    <tableColumn id="6" name="Purchase ID"/>
    <tableColumn id="7" name="Trident Tran ID"/>
    <tableColumn id="8" name="Auth Code"/>
    <tableColumn id="9" name="Entry mode"/>
    <tableColumn id="10" name="Tran Amount"/>
    <tableColumn id="11" name="Status"/>
  </tableColumns>
  <tableStyleInfo name="TableStyleLight8 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>
  <dimension ref="A1:X4"/>
  <sheetViews>
    <sheetView tabSelected="1" zoomScale="85" zoomScaleNormal="85" workbookViewId="0">
      <selection activeCell="A4" sqref="A4"/>
    </sheetView>
  </sheetViews>
  <sheetFormatPr defaultColWidth="5.28515625" defaultRowHeight="15"/>
  <cols>
    <col min="1" max="1" width="17.140625" bestFit="1" customWidth="1"/>
    <col min="2" max="2" width="13.140625" customWidth="1"/>
    <col min="3" max="3" width="15.28515625" customWidth="1"/>
    <col min="4" max="4" width="10.28515625" bestFit="1" customWidth="1"/>
    <col min="5" max="5" width="11.5703125" customWidth="1"/>
    <col min="6" max="6" width="13.85546875" customWidth="1"/>
    <col min="7" max="7" width="16.42578125" bestFit="1" customWidth="1"/>
    <col min="8" max="8" width="40" bestFit="1" customWidth="1"/>
    <col min="9" max="9" width="14.42578125" customWidth="1"/>
    <col min="10" max="10" width="21.42578125" customWidth="1"/>
    <col min="11" max="11" width="13.140625" customWidth="1"/>
    <col min="12" max="12" width="18.7109375" customWidth="1"/>
    <col min="13" max="13" width="15.5703125" customWidth="1"/>
    <col min="14" max="14" width="22.140625" customWidth="1"/>
    <col min="15" max="15" width="20.85546875" customWidth="1"/>
    <col min="16" max="16" width="20.7109375" customWidth="1"/>
    <col min="17" max="17" width="19" customWidth="1"/>
    <col min="18" max="18" width="19.140625" customWidth="1"/>
    <col min="19" max="19" width="24" customWidth="1"/>
    <col min="20" max="20" width="35.85546875" customWidth="1"/>
    <col min="21" max="21" width="14.85546875" customWidth="1"/>
    <col min="22" max="22" width="17.7109375" customWidth="1"/>
    <col min="23" max="23" width="17.28515625" bestFit="1" customWidth="1"/>
    <col min="24" max="24" width="11.7109375" bestFit="1" customWidth="1"/>
  </cols>
  <sheetData>
    <row r="1" spans="1:24" ht="27" thickBot="1">
      <c r="A1" s="18" t="s">
        <v>32</v>
      </c>
      <c r="B1" s="19"/>
      <c r="C1" s="19"/>
      <c r="D1" s="3" t="s">
        <v>8</v>
      </c>
      <c r="E1" s="17" t="s">
        <v>9</v>
      </c>
      <c r="F1" s="17"/>
      <c r="G1" s="17"/>
      <c r="H1" s="20" t="s">
        <v>10</v>
      </c>
      <c r="I1" s="20"/>
    </row>
    <row r="2" spans="1:24" ht="21.75" thickBot="1">
      <c r="A2" s="12" t="s">
        <v>26</v>
      </c>
      <c r="B2" s="13"/>
      <c r="C2" s="13"/>
      <c r="D2" s="13"/>
      <c r="E2" s="14"/>
      <c r="F2" s="15" t="str">
        <f>IF(COUNTIF(PAYVISION[Duplicate?],"YES")&gt;0,"Yes, " &amp; COUNTIF(PAYVISION[Duplicate?],"YES") &amp; " duplicates found","NO")</f>
        <v>NO</v>
      </c>
      <c r="G2" s="16"/>
      <c r="H2" s="16"/>
      <c r="I2" s="16"/>
    </row>
    <row r="3" spans="1:24">
      <c r="A3" s="4" t="s">
        <v>0</v>
      </c>
      <c r="B3" s="4" t="s">
        <v>1</v>
      </c>
      <c r="C3" s="4" t="s">
        <v>2</v>
      </c>
      <c r="D3" s="4" t="s">
        <v>3</v>
      </c>
      <c r="E3" s="4" t="s">
        <v>4</v>
      </c>
      <c r="F3" s="4" t="s">
        <v>20</v>
      </c>
      <c r="G3" s="4" t="s">
        <v>5</v>
      </c>
      <c r="H3" s="4" t="s">
        <v>6</v>
      </c>
      <c r="I3" s="4" t="s">
        <v>7</v>
      </c>
      <c r="J3" s="2" t="s">
        <v>31</v>
      </c>
      <c r="K3" s="2" t="s">
        <v>30</v>
      </c>
      <c r="L3" s="2" t="s">
        <v>33</v>
      </c>
      <c r="M3" s="2" t="s">
        <v>29</v>
      </c>
      <c r="N3" s="2" t="s">
        <v>11</v>
      </c>
      <c r="O3" s="2" t="s">
        <v>21</v>
      </c>
      <c r="P3" s="2" t="s">
        <v>12</v>
      </c>
      <c r="Q3" s="2" t="s">
        <v>28</v>
      </c>
      <c r="R3" s="2" t="s">
        <v>13</v>
      </c>
      <c r="S3" s="2" t="s">
        <v>14</v>
      </c>
      <c r="T3" s="2" t="s">
        <v>15</v>
      </c>
      <c r="U3" s="2" t="s">
        <v>16</v>
      </c>
      <c r="V3" s="2" t="s">
        <v>17</v>
      </c>
      <c r="W3" s="8" t="s">
        <v>18</v>
      </c>
      <c r="X3" s="2" t="s">
        <v>19</v>
      </c>
    </row>
    <row r="4" spans="1:24">
      <c r="A4" s="9"/>
      <c r="B4" s="9"/>
      <c r="C4" s="9"/>
      <c r="D4" s="9"/>
      <c r="E4" s="9"/>
      <c r="F4" s="9"/>
      <c r="G4" s="9"/>
      <c r="H4" s="9"/>
      <c r="I4" s="9"/>
      <c r="J4" s="1" t="str">
        <f>IF(PAYVISION[[#This Row],[Purchase Identifier]]="","",IF(AND(MID(PAYVISION[[#This Row],[Purchase Identifier]],7,1)="N",LEN(PAYVISION[[#This Row],[Purchase Identifier]])=16),"YES","NO"))</f>
        <v/>
      </c>
      <c r="K4" s="1"/>
      <c r="L4" s="1" t="str">
        <f>IF(ISBLANK(PAYVISION[[#This Row],[Tracking Code]]),"",IF(COUNTIF(MES[Trident Tran ID],PAYVISION[[#This Row],[Tracking Code]])&gt;1,"Duplicate Tracking #s",IF(COUNTIF(MES[Trident Tran ID],PAYVISION[[#This Row],[Tracking Code]])=1,"Match Found","Not Matching")))</f>
        <v/>
      </c>
      <c r="M4" s="5" t="str">
        <f>IF(ISBLANK(PAYVISION[[#This Row],[Amount]]),"",IF(COUNTIFS(MES[Tran Amount],"CAD "&amp;TEXT(PAYVISION[[#This Row],[Amount]],"#,##0.00"),MES[Status],"settled ")&gt;1,"YES",IF(COUNTIFS(MES[Tran Amount],"CAD "&amp;TEXT(PAYVISION[[#This Row],[Amount]],"#,##0.00"),MES[Status],"settled ")=0,"Not Found","Unique")))</f>
        <v/>
      </c>
      <c r="N4" s="7" t="str">
        <f t="array" ref="N4">IF(PAYVISION[[#This Row],[Override]]="",
     IF(PAYVISION[[#This Row],[Duplicate?]]="Unique",
          INDEX(MES[], MATCH(1,(MES[Status]="settled ")*(MES[Tran Amount]="CAD "&amp;TEXT(PAYVISION[[#This Row],[Amount]],"#,##0.00")),0),3),
          IF(PAYVISION[[#This Row],[Matching Track '#]]="MATCH FOUND",
               INDEX(MES[],MATCH(1,(MES[Status]="settled ")*(MES[Trident Tran ID]=PAYVISION[[#This Row],[Tracking Code]]),0),3),
               ""
          )
     ),
     INDEX(MES[],MATCH(1,(MES[Override]=[Override]),0),3)
)</f>
        <v/>
      </c>
      <c r="O4" s="11" t="str">
        <f t="array" ref="O4">IF(PAYVISION[[#This Row],[Override]]="",
     IF(PAYVISION[[#This Row],[Duplicate?]]="Unique",
          INDEX(MES[], MATCH(1,(MES[Status]="settled ")*(MES[Tran Amount]="CAD "&amp;TEXT(PAYVISION[[#This Row],[Amount]],"#,##0.00")),0),4),
          IF(PAYVISION[[#This Row],[Matching Track '#]]="MATCH FOUND",
               INDEX(MES[],MATCH(1,(MES[Status]="settled ")*(MES[Trident Tran ID]=PAYVISION[[#This Row],[Tracking Code]]),0),4),
               ""
          )
     ),
     INDEX(MES[],MATCH(1,(MES[Override]=[Override]),0),4)
)</f>
        <v/>
      </c>
      <c r="P4" s="11" t="str">
        <f t="array" ref="P4">IF(PAYVISION[[#This Row],[Override]]="",
     IF(PAYVISION[[#This Row],[Duplicate?]]="Unique",
          INDEX(MES[], MATCH(1,(MES[Status]="settled ")*(MES[Tran Amount]="CAD "&amp;TEXT(PAYVISION[[#This Row],[Amount]],"#,##0.00")),0),5),
          IF(PAYVISION[[#This Row],[Matching Track '#]]="MATCH FOUND",
               INDEX(MES[],MATCH(1,(MES[Status]="settled ")*(MES[Trident Tran ID]=PAYVISION[[#This Row],[Tracking Code]]),0),5),
               ""
          )
     ),
     INDEX(MES[],MATCH(1,(MES[Override]=[Override]),0),5)
)</f>
        <v/>
      </c>
      <c r="Q4" s="11" t="str">
        <f t="array" ref="Q4">IF(PAYVISION[[#This Row],[Override]]="",
     IF(PAYVISION[[#This Row],[Duplicate?]]="Unique",
          INDEX(MES[], MATCH(1,(MES[Status]="settled ")*(MES[Tran Amount]="CAD "&amp;TEXT(PAYVISION[[#This Row],[Amount]],"#,##0.00")),0),6),
          IF(PAYVISION[[#This Row],[Matching Track '#]]="MATCH FOUND",
               INDEX(MES[],MATCH(1,(MES[Status]="settled ")*(MES[Trident Tran ID]=PAYVISION[[#This Row],[Tracking Code]]),0),6),
               ""
          )
     ),
     INDEX(MES[],MATCH(1,(MES[Override]=[Override]),0),6)
)</f>
        <v/>
      </c>
      <c r="R4" s="11" t="str">
        <f t="array" ref="R4">IF(PAYVISION[[#This Row],[Override]]="",
     IF(PAYVISION[[#This Row],[Duplicate?]]="Unique",
          INDEX(MES[], MATCH(1,(MES[Status]="settled ")*(MES[Tran Amount]="CAD "&amp;TEXT(PAYVISION[[#This Row],[Amount]],"#,##0.00")),0),7),
          IF(PAYVISION[[#This Row],[Matching Track '#]]="MATCH FOUND",
               INDEX(MES[],MATCH(1,(MES[Status]="settled ")*(MES[Trident Tran ID]=PAYVISION[[#This Row],[Tracking Code]]),0),7),
               ""
          )
     ),
     INDEX(MES[],MATCH(1,(MES[Override]=[Override]),0),7)
)</f>
        <v/>
      </c>
      <c r="S4" s="11" t="str">
        <f t="array" ref="S4">IF(PAYVISION[[#This Row],[Override]]="",
     IF(PAYVISION[[#This Row],[Duplicate?]]="Unique",
          INDEX(MES[], MATCH(1,(MES[Status]="settled ")*(MES[Tran Amount]="CAD "&amp;TEXT(PAYVISION[[#This Row],[Amount]],"#,##0.00")),0),8),
          IF(PAYVISION[[#This Row],[Matching Track '#]]="MATCH FOUND",
               INDEX(MES[],MATCH(1,(MES[Status]="settled ")*(MES[Trident Tran ID]=PAYVISION[[#This Row],[Tracking Code]]),0),8),
               ""
          )
     ),
     INDEX(MES[],MATCH(1,(MES[Override]=[Override]),0),8)
)</f>
        <v/>
      </c>
      <c r="T4" s="11" t="str">
        <f t="array" ref="T4">IF(PAYVISION[[#This Row],[Override]]="",
     IF(PAYVISION[[#This Row],[Duplicate?]]="Unique",
          INDEX(MES[], MATCH(1,(MES[Status]="settled ")*(MES[Tran Amount]="CAD "&amp;TEXT(PAYVISION[[#This Row],[Amount]],"#,##0.00")),0),9),
          IF(PAYVISION[[#This Row],[Matching Track '#]]="MATCH FOUND",
               INDEX(MES[],MATCH(1,(MES[Status]="settled ")*(MES[Trident Tran ID]=PAYVISION[[#This Row],[Tracking Code]]),0),9),
               ""
          )
     ),
     INDEX(MES[],MATCH(1,(MES[Override]=[Override]),0),9)
)</f>
        <v/>
      </c>
      <c r="U4" s="11" t="str">
        <f t="array" ref="U4">IF(PAYVISION[[#This Row],[Override]]="",
     IF(PAYVISION[[#This Row],[Duplicate?]]="Unique",
          INDEX(MES[], MATCH(1,(MES[Status]="settled ")*(MES[Tran Amount]="CAD "&amp;TEXT(PAYVISION[[#This Row],[Amount]],"#,##0.00")),0),10),
          IF(PAYVISION[[#This Row],[Matching Track '#]]="MATCH FOUND",
               INDEX(MES[],MATCH(1,(MES[Status]="settled ")*(MES[Trident Tran ID]=PAYVISION[[#This Row],[Tracking Code]]),0),10),
               ""
          )
     ),
     INDEX(MES[],MATCH(1,(MES[Override]=[Override]),0),10)
)</f>
        <v/>
      </c>
      <c r="V4" s="11" t="str">
        <f t="array" ref="V4">IF(PAYVISION[[#This Row],[Override]]="",
     IF(PAYVISION[[#This Row],[Duplicate?]]="Unique",
          INDEX(MES[], MATCH(1,(MES[Status]="settled ")*(MES[Tran Amount]="CAD "&amp;TEXT(PAYVISION[[#This Row],[Amount]],"#,##0.00")),0),11),
          IF(PAYVISION[[#This Row],[Matching Track '#]]="MATCH FOUND",
               INDEX(MES[],MATCH(1,(MES[Status]="settled ")*(MES[Trident Tran ID]=PAYVISION[[#This Row],[Tracking Code]]),0),11),
               ""
          )
     ),
     INDEX(MES[],MATCH(1,(MES[Override]=[Override]),0),11)
)</f>
        <v/>
      </c>
      <c r="W4" s="11" t="str">
        <f t="array" ref="W4">IF(PAYVISION[[#This Row],[Override]]="",
     IF(PAYVISION[[#This Row],[Duplicate?]]="Unique",
          INDEX(MES[], MATCH(1,(MES[Status]="settled ")*(MES[Tran Amount]="CAD "&amp;TEXT(PAYVISION[[#This Row],[Amount]],"#,##0.00")),0),12),
          IF(PAYVISION[[#This Row],[Matching Track '#]]="MATCH FOUND",
               INDEX(MES[],MATCH(1,(MES[Status]="settled ")*(MES[Trident Tran ID]=PAYVISION[[#This Row],[Tracking Code]]),0),12),
               ""
          )
     ),
     INDEX(MES[],MATCH(1,(MES[Override]=[Override]),0),12)
)</f>
        <v/>
      </c>
      <c r="X4" s="11" t="str">
        <f t="array" ref="X4">IF(PAYVISION[[#This Row],[Override]]="",
     IF(PAYVISION[[#This Row],[Duplicate?]]="Unique",
          INDEX(MES[], MATCH(1,(MES[Status]="settled ")*(MES[Tran Amount]="CAD "&amp;TEXT(PAYVISION[[#This Row],[Amount]],"#,##0.00")),0),13),
          IF(PAYVISION[[#This Row],[Matching Track '#]]="MATCH FOUND",
               INDEX(MES[],MATCH(1,(MES[Status]="settled ")*(MES[Trident Tran ID]=PAYVISION[[#This Row],[Tracking Code]]),0),13),
               ""
          )
     ),
     INDEX(MES[],MATCH(1,(MES[Override]=[Override]),0),13)
)</f>
        <v/>
      </c>
    </row>
  </sheetData>
  <mergeCells count="5">
    <mergeCell ref="A2:E2"/>
    <mergeCell ref="F2:I2"/>
    <mergeCell ref="E1:G1"/>
    <mergeCell ref="A1:C1"/>
    <mergeCell ref="H1:I1"/>
  </mergeCells>
  <conditionalFormatting sqref="F2">
    <cfRule type="notContainsText" dxfId="23" priority="4" operator="notContains" text="NO">
      <formula>ISERROR(SEARCH("NO",F2))</formula>
    </cfRule>
  </conditionalFormatting>
  <conditionalFormatting sqref="M4">
    <cfRule type="containsText" dxfId="22" priority="2" operator="containsText" text="YES">
      <formula>NOT(ISERROR(SEARCH("YES",M4)))</formula>
    </cfRule>
    <cfRule type="containsText" dxfId="21" priority="3" operator="containsText" text="Unique">
      <formula>NOT(ISERROR(SEARCH("Unique",M4)))</formula>
    </cfRule>
  </conditionalFormatting>
  <conditionalFormatting sqref="L4">
    <cfRule type="containsText" dxfId="20" priority="1" operator="containsText" text="Match Found">
      <formula>NOT(ISERROR(SEARCH("Match Found",L4)))</formula>
    </cfRule>
  </conditionalFormatting>
  <dataValidations count="1">
    <dataValidation type="list" allowBlank="1" showInputMessage="1" showErrorMessage="1" errorTitle="Listed Numbers Only" error="Sorry,_x000a__x000a_Please select only one of the listed numbers to search for in the MES table." promptTitle="Override Match" prompt="Select Number to search in MES in Override Column" sqref="K4">
      <formula1>"1,2,3,4,5,6,7,8,9,10"</formula1>
    </dataValidation>
  </dataValidations>
  <pageMargins left="0.7" right="0.7" top="0.75" bottom="0.75" header="0.3" footer="0.3"/>
  <pageSetup orientation="portrait" r:id="rId1"/>
  <legacy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>
  <dimension ref="A1:M3"/>
  <sheetViews>
    <sheetView topLeftCell="A2" zoomScale="85" zoomScaleNormal="85" workbookViewId="0">
      <selection activeCell="C3" sqref="C3"/>
    </sheetView>
  </sheetViews>
  <sheetFormatPr defaultRowHeight="15"/>
  <cols>
    <col min="1" max="1" width="19.5703125" customWidth="1"/>
    <col min="2" max="2" width="14.140625" customWidth="1"/>
    <col min="3" max="3" width="18" customWidth="1"/>
    <col min="4" max="4" width="22.85546875" customWidth="1"/>
    <col min="5" max="5" width="22.140625" customWidth="1"/>
    <col min="6" max="6" width="22" customWidth="1"/>
    <col min="7" max="7" width="28.7109375" bestFit="1" customWidth="1"/>
    <col min="8" max="8" width="14.85546875" customWidth="1"/>
    <col min="9" max="9" width="15.7109375" customWidth="1"/>
    <col min="10" max="10" width="17" customWidth="1"/>
    <col min="11" max="11" width="10.85546875" customWidth="1"/>
  </cols>
  <sheetData>
    <row r="1" spans="1:13" s="5" customFormat="1" ht="31.5">
      <c r="A1" s="21" t="s">
        <v>27</v>
      </c>
      <c r="B1" s="21"/>
      <c r="C1" s="21"/>
      <c r="D1" s="21"/>
      <c r="E1" s="21"/>
      <c r="F1" s="21"/>
      <c r="G1" s="21"/>
      <c r="H1" s="21"/>
      <c r="I1" s="21"/>
      <c r="J1" s="21"/>
      <c r="K1" s="21"/>
      <c r="L1" s="21"/>
    </row>
    <row r="2" spans="1:13" s="6" customFormat="1">
      <c r="A2" s="2" t="s">
        <v>30</v>
      </c>
      <c r="B2" s="2" t="s">
        <v>25</v>
      </c>
      <c r="C2" s="4" t="s">
        <v>11</v>
      </c>
      <c r="D2" s="4" t="s">
        <v>2</v>
      </c>
      <c r="E2" s="4" t="s">
        <v>12</v>
      </c>
      <c r="F2" s="4" t="s">
        <v>22</v>
      </c>
      <c r="G2" s="4" t="s">
        <v>13</v>
      </c>
      <c r="H2" s="4" t="s">
        <v>23</v>
      </c>
      <c r="I2" s="4" t="s">
        <v>15</v>
      </c>
      <c r="J2" s="4" t="s">
        <v>16</v>
      </c>
      <c r="K2" s="4" t="s">
        <v>24</v>
      </c>
      <c r="L2" s="4" t="s">
        <v>18</v>
      </c>
      <c r="M2" s="4" t="s">
        <v>19</v>
      </c>
    </row>
    <row r="3" spans="1:13">
      <c r="A3" s="1"/>
      <c r="B3" s="1" t="str">
        <f>IFERROR(IF(SEARCH("CAD",MES[[#This Row],[Tran Amount]]),IF(COUNTIF([Tran Amount],MES[[#This Row],[Tran Amount]])&gt;1,"YES","Unique"),""),"")</f>
        <v/>
      </c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</row>
  </sheetData>
  <mergeCells count="1">
    <mergeCell ref="A1:L1"/>
  </mergeCells>
  <conditionalFormatting sqref="A3:B3">
    <cfRule type="containsText" dxfId="4" priority="1" operator="containsText" text="Unique">
      <formula>NOT(ISERROR(SEARCH("Unique",A3)))</formula>
    </cfRule>
    <cfRule type="containsText" dxfId="3" priority="2" operator="containsText" text="YES">
      <formula>NOT(ISERROR(SEARCH("YES",A3)))</formula>
    </cfRule>
  </conditionalFormatting>
  <dataValidations count="1">
    <dataValidation type="list" allowBlank="1" showInputMessage="1" showErrorMessage="1" errorTitle="Listed Numbers Only" error="Sorry,_x000a__x000a_Please select only one of the listed numbers to search for in the MES table." sqref="A3">
      <formula1>"1,2,3,4,5,6,7,8,9,10"</formula1>
    </dataValidation>
  </dataValidations>
  <pageMargins left="0.7" right="0.7" top="0.75" bottom="0.75" header="0.3" footer="0.3"/>
  <pageSetup orientation="portrait" r:id="rId1"/>
  <legacy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CAD PAYVISION-MES Consolidated</vt:lpstr>
      <vt:lpstr>MES</vt:lpstr>
    </vt:vector>
  </TitlesOfParts>
  <Company>Corporate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e229038</dc:creator>
  <cp:lastModifiedBy>e229038</cp:lastModifiedBy>
  <dcterms:created xsi:type="dcterms:W3CDTF">2014-08-15T15:31:37Z</dcterms:created>
  <dcterms:modified xsi:type="dcterms:W3CDTF">2014-09-11T13:10:31Z</dcterms:modified>
</cp:coreProperties>
</file>