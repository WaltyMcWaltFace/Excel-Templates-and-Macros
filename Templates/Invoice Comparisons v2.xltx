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5" yWindow="60" windowWidth="13755" windowHeight="9750"/>
    <workbookView xWindow="13875" yWindow="45" windowWidth="14715" windowHeight="9735"/>
  </bookViews>
  <sheets>
    <sheet name="Remittance Comparison" sheetId="1" r:id="rId1"/>
    <sheet name="Applied Comparison" sheetId="2" r:id="rId2"/>
  </sheets>
  <calcPr calcId="125725"/>
</workbook>
</file>

<file path=xl/calcChain.xml><?xml version="1.0" encoding="utf-8"?>
<calcChain xmlns="http://schemas.openxmlformats.org/spreadsheetml/2006/main">
  <c r="C6" i="1" a="1"/>
  <c r="C6" s="1"/>
  <c r="D6" s="1"/>
  <c r="G6"/>
  <c r="F6" i="2" a="1"/>
  <c r="F6" s="1"/>
  <c r="F6" i="1"/>
  <c r="E6"/>
  <c r="G6" i="2" l="1"/>
</calcChain>
</file>

<file path=xl/sharedStrings.xml><?xml version="1.0" encoding="utf-8"?>
<sst xmlns="http://schemas.openxmlformats.org/spreadsheetml/2006/main" count="26" uniqueCount="16">
  <si>
    <t>Invoice #</t>
  </si>
  <si>
    <t>Amount</t>
  </si>
  <si>
    <t>Cust. #</t>
  </si>
  <si>
    <t>Check #</t>
  </si>
  <si>
    <t>Remit. Amount</t>
  </si>
  <si>
    <t>Difference</t>
  </si>
  <si>
    <t>Remittance</t>
  </si>
  <si>
    <t>Color Legend:</t>
  </si>
  <si>
    <t>Short Pay / Over pay</t>
  </si>
  <si>
    <t>Matching Invoice</t>
  </si>
  <si>
    <t>Applied</t>
  </si>
  <si>
    <t>Missing from Applied</t>
  </si>
  <si>
    <t>Column Formula (don’t paste below these columns)</t>
  </si>
  <si>
    <t>Missing from Remittance</t>
  </si>
  <si>
    <t>Applied Amt</t>
  </si>
  <si>
    <t>Batch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</si>
</sst>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2" borderId="0" xfId="0" applyFont="1" applyFill="1" applyAlignment="1">
      <alignment horizont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0" fillId="0" borderId="2" xfId="0" applyBorder="1"/>
    <xf numFmtId="44" fontId="0" fillId="0" borderId="0" xfId="1" applyFont="1"/>
    <xf numFmtId="44" fontId="0" fillId="0" borderId="2" xfId="1" applyFont="1" applyBorder="1"/>
    <xf numFmtId="0" fontId="0" fillId="0" borderId="0" xfId="0"/>
    <xf numFmtId="0" fontId="0" fillId="0" borderId="0" xfId="0"/>
    <xf numFmtId="0" fontId="6" fillId="5" borderId="1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19">
    <dxf>
      <border diagonalUp="0" diagonalDown="0">
        <left/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border diagonalUp="0" diagonalDown="0">
        <left/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</dxfs>
  <tableStyles count="1" defaultTableStyle="TableStyleMedium9" defaultPivotStyle="PivotStyleLight16">
    <tableStyle name="TableStyleLight8 2" pivot="0" count="9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secondRowStripe" dxfId="12"/>
      <tableStyleElement type="firstColumnStripe" dxfId="11"/>
      <tableStyleElement type="secondColumnStripe" dxfId="10"/>
    </tableStyle>
  </tableStyles>
  <colors>
    <mruColors>
      <color rgb="FF006600"/>
      <color rgb="FF00CC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RemitTab" displayName="RemitTab" ref="A5:G6" totalsRowShown="0" headerRowDxfId="6">
  <autoFilter ref="A5:G6">
    <filterColumn colId="2"/>
    <filterColumn colId="3"/>
    <filterColumn colId="4"/>
    <filterColumn colId="5"/>
    <filterColumn colId="6"/>
  </autoFilter>
  <tableColumns count="7">
    <tableColumn id="1" name="Invoice #"/>
    <tableColumn id="2" name="Amount" dataDxfId="5" dataCellStyle="Currency"/>
    <tableColumn id="3" name="Applied Amt" dataCellStyle="Currency">
      <calculatedColumnFormula array="1">IFERROR(
     IF(ISBLANK($A6),"",
          INDEX(AppliedTab[],MATCH(TEXT($A6,"000000000"),TEXT(AppliedTab[Invoice '#],"000000000"),0),3)
       ),
       "NOT FOUND"
)</calculatedColumnFormula>
    </tableColumn>
    <tableColumn id="4" name="Difference" dataCellStyle="Currency">
      <calculatedColumnFormula>IFERROR(
     IF(OR(ISBLANK($A6),$C6=""),"",
          IF(ROUND(B6,2)-ROUND(C6,2)=0,"Matching",
               ROUND(B6,2)-ROUND(C6,2)
          )
     ),
     IF($C6="NOT FOUND","NF TOTAL:   "&amp;ROUND(SUMIF([Applied Amt],"NOT FOUND",[Amount]),2),"")
)</calculatedColumnFormula>
    </tableColumn>
    <tableColumn id="5" name="Check #">
      <calculatedColumnFormula>IFERROR(
     IF(ISBLANK($A6),"",
          INDEX(AppliedTab[],MATCH(TEXT($A6,"000000000"),AppliedTab[Invoice '#],0),4)
       ),
       "NOT FOUND"
)</calculatedColumnFormula>
    </tableColumn>
    <tableColumn id="6" name="Batch">
      <calculatedColumnFormula>IFERROR(
     IF(ISBLANK($A6),"",
          INDEX(AppliedTab[],MATCH(TEXT($A6,"000000000"),AppliedTab[Invoice '#],0),5)
       ),
       "NOT FOUND"
)</calculatedColumnFormula>
    </tableColumn>
    <tableColumn id="7" name="Cust. #">
      <calculatedColumnFormula>IFERROR(
     IF(ISBLANK($A6),"",
          INDEX(AppliedTab[],MATCH(TEXT($A6,"000000000"),AppliedTab[Invoice '#],0),1)
       ),
       "NOT FOUND"
)</calculatedColumnFormula>
    </tableColumn>
  </tableColumns>
  <tableStyleInfo name="TableStyleLight8 2" showFirstColumn="0" showLastColumn="0" showRowStripes="1" showColumnStripes="0"/>
</table>
</file>

<file path=xl/tables/table2.xml><?xml version="1.0" encoding="utf-8"?>
<table xmlns="http://schemas.openxmlformats.org/spreadsheetml/2006/main" id="2" name="AppliedTab" displayName="AppliedTab" ref="A5:G6" totalsRowShown="0" headerRowDxfId="1">
  <autoFilter ref="A5:G6">
    <filterColumn colId="6"/>
  </autoFilter>
  <tableColumns count="7">
    <tableColumn id="1" name="Cust. #"/>
    <tableColumn id="2" name="Invoice #"/>
    <tableColumn id="3" name="Applied Amt" dataCellStyle="Currency"/>
    <tableColumn id="4" name="Check #"/>
    <tableColumn id="5" name="Batch" dataDxfId="0"/>
    <tableColumn id="6" name="Remit. Amount" dataCellStyle="Currency">
      <calculatedColumnFormula array="1">IFERROR(
     IF(ISBLANK($B6),"",
          INDEX(RemitTab[],MATCH(TEXT($B6,"000000000"),TEXT(RemitTab[Invoice '#],"000000000"),0),2)
       ),
       "NOT FOUND"
)</calculatedColumnFormula>
    </tableColumn>
    <tableColumn id="7" name="Difference" dataCellStyle="Currency">
      <calculatedColumnFormula>IFERROR(
     IF(OR(ISBLANK($B6),$C6=""),"",
          IF(ROUND(F6,2)-ROUND(C6,2)=0,"Matching",
               ROUND(F6,2)-ROUND(C6,2)
          )
     ),
     IF($F6="NOT FOUND","NF TOTAL:   "&amp;ROUND(SUMIF([Remit. Amount],"NOT FOUND",[Applied Amt]),2),"")
)</calculatedColumnFormula>
    </tableColumn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6"/>
  <sheetViews>
    <sheetView tabSelected="1" workbookViewId="0">
      <selection activeCell="C10" sqref="C10"/>
    </sheetView>
    <sheetView tabSelected="1" workbookViewId="1">
      <selection activeCell="C6" sqref="C6"/>
    </sheetView>
  </sheetViews>
  <sheetFormatPr defaultColWidth="0" defaultRowHeight="15"/>
  <cols>
    <col min="1" max="1" width="15.42578125" customWidth="1"/>
    <col min="2" max="2" width="18.28515625" customWidth="1"/>
    <col min="3" max="3" width="21.140625" customWidth="1"/>
    <col min="4" max="4" width="21.5703125" customWidth="1"/>
    <col min="5" max="5" width="18.140625" customWidth="1"/>
    <col min="6" max="6" width="11.85546875" bestFit="1" customWidth="1"/>
    <col min="7" max="7" width="13.85546875" customWidth="1"/>
    <col min="8" max="16384" width="9.140625" hidden="1"/>
  </cols>
  <sheetData>
    <row r="1" spans="1:7" s="2" customFormat="1" ht="16.5" customHeight="1">
      <c r="A1" s="12" t="s">
        <v>7</v>
      </c>
      <c r="B1" s="14" t="s">
        <v>12</v>
      </c>
      <c r="C1" s="14"/>
      <c r="D1" s="16" t="s">
        <v>8</v>
      </c>
      <c r="E1" s="18" t="s">
        <v>9</v>
      </c>
      <c r="F1" s="9" t="s">
        <v>11</v>
      </c>
      <c r="G1" s="9"/>
    </row>
    <row r="2" spans="1:7" s="2" customFormat="1" ht="15.75">
      <c r="A2" s="13"/>
      <c r="B2" s="15"/>
      <c r="C2" s="15"/>
      <c r="D2" s="17"/>
      <c r="E2" s="19"/>
      <c r="F2" s="10"/>
      <c r="G2" s="10"/>
    </row>
    <row r="4" spans="1:7" ht="23.25">
      <c r="A4" s="11" t="s">
        <v>6</v>
      </c>
      <c r="B4" s="11"/>
      <c r="C4" s="11"/>
      <c r="D4" s="11"/>
      <c r="E4" s="11"/>
      <c r="F4" s="11"/>
      <c r="G4" s="11"/>
    </row>
    <row r="5" spans="1:7" ht="18.75">
      <c r="A5" s="1" t="s">
        <v>0</v>
      </c>
      <c r="B5" s="1" t="s">
        <v>1</v>
      </c>
      <c r="C5" s="3" t="s">
        <v>14</v>
      </c>
      <c r="D5" s="3" t="s">
        <v>5</v>
      </c>
      <c r="E5" s="3" t="s">
        <v>3</v>
      </c>
      <c r="F5" s="3" t="s">
        <v>15</v>
      </c>
      <c r="G5" s="3" t="s">
        <v>2</v>
      </c>
    </row>
    <row r="6" spans="1:7">
      <c r="A6" s="8"/>
      <c r="B6" s="6"/>
      <c r="C6" s="5" t="str">
        <f t="array" ref="C6">IFERROR(
     IF(ISBLANK($A6),"",
          INDEX(AppliedTab[],MATCH(TEXT($A6,"000000000"),TEXT(AppliedTab[Invoice '#],"000000000"),0),3)
       ),
       "NOT FOUND"
)</f>
        <v/>
      </c>
      <c r="D6" s="5" t="str">
        <f>IFERROR(
     IF(OR(ISBLANK($A6),$C6=""),"",
          IF(ROUND(B6,2)-ROUND(C6,2)=0,"Matching",
               ROUND(B6,2)-ROUND(C6,2)
          )
     ),
     IF($C6="NOT FOUND","NF TOTAL:   "&amp;ROUND(SUMIF([Applied Amt],"NOT FOUND",[Amount]),2),"")
)</f>
        <v/>
      </c>
      <c r="E6" t="str">
        <f>IFERROR(
     IF(ISBLANK($A6),"",
          INDEX(AppliedTab[],MATCH(TEXT($A6,"000000000"),AppliedTab[Invoice '#],0),4)
       ),
       "NOT FOUND"
)</f>
        <v/>
      </c>
      <c r="F6" t="str">
        <f>IFERROR(
     IF(ISBLANK($A6),"",
          INDEX(AppliedTab[],MATCH(TEXT($A6,"000000000"),AppliedTab[Invoice '#],0),5)
       ),
       "NOT FOUND"
)</f>
        <v/>
      </c>
      <c r="G6" t="str">
        <f>IFERROR(
     IF(ISBLANK($A6),"",
          INDEX(AppliedTab[],MATCH(TEXT($A6,"000000000"),AppliedTab[Invoice '#],0),1)
       ),
       "NOT FOUND"
)</f>
        <v/>
      </c>
    </row>
  </sheetData>
  <mergeCells count="6">
    <mergeCell ref="F1:G2"/>
    <mergeCell ref="A4:G4"/>
    <mergeCell ref="A1:A2"/>
    <mergeCell ref="B1:C2"/>
    <mergeCell ref="D1:D2"/>
    <mergeCell ref="E1:E2"/>
  </mergeCells>
  <conditionalFormatting sqref="D6">
    <cfRule type="expression" dxfId="9" priority="5">
      <formula>AND($D6&lt;&gt;"",$D6&lt;&gt;"Matching")</formula>
    </cfRule>
    <cfRule type="containsText" dxfId="8" priority="6" operator="containsText" text="Matching">
      <formula>NOT(ISERROR(SEARCH("Matching",D6)))</formula>
    </cfRule>
  </conditionalFormatting>
  <conditionalFormatting sqref="C6:G6">
    <cfRule type="expression" dxfId="7" priority="4">
      <formula>$C6="NOT FOUND"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G6"/>
  <sheetViews>
    <sheetView workbookViewId="0">
      <selection activeCell="A4" sqref="A4:G4"/>
    </sheetView>
    <sheetView workbookViewId="1">
      <selection activeCell="F6" sqref="F6"/>
    </sheetView>
  </sheetViews>
  <sheetFormatPr defaultColWidth="0" defaultRowHeight="15"/>
  <cols>
    <col min="1" max="1" width="14.42578125" bestFit="1" customWidth="1"/>
    <col min="2" max="2" width="15.42578125" customWidth="1"/>
    <col min="3" max="3" width="21.140625" customWidth="1"/>
    <col min="4" max="4" width="20.140625" bestFit="1" customWidth="1"/>
    <col min="5" max="5" width="16.140625" bestFit="1" customWidth="1"/>
    <col min="6" max="6" width="21.140625" bestFit="1" customWidth="1"/>
    <col min="7" max="7" width="22" customWidth="1"/>
    <col min="8" max="16384" width="9.140625" hidden="1"/>
  </cols>
  <sheetData>
    <row r="1" spans="1:7">
      <c r="A1" s="12" t="s">
        <v>7</v>
      </c>
      <c r="B1" s="14" t="s">
        <v>12</v>
      </c>
      <c r="C1" s="14"/>
      <c r="D1" s="16" t="s">
        <v>8</v>
      </c>
      <c r="E1" s="18" t="s">
        <v>9</v>
      </c>
      <c r="F1" s="9" t="s">
        <v>13</v>
      </c>
      <c r="G1" s="9"/>
    </row>
    <row r="2" spans="1:7">
      <c r="A2" s="13"/>
      <c r="B2" s="15"/>
      <c r="C2" s="15"/>
      <c r="D2" s="17"/>
      <c r="E2" s="19"/>
      <c r="F2" s="10"/>
      <c r="G2" s="10"/>
    </row>
    <row r="4" spans="1:7" ht="23.25">
      <c r="A4" s="11" t="s">
        <v>10</v>
      </c>
      <c r="B4" s="11"/>
      <c r="C4" s="11"/>
      <c r="D4" s="11"/>
      <c r="E4" s="11"/>
      <c r="F4" s="11"/>
      <c r="G4" s="11"/>
    </row>
    <row r="5" spans="1:7" ht="18.75">
      <c r="A5" s="1" t="s">
        <v>2</v>
      </c>
      <c r="B5" s="1" t="s">
        <v>0</v>
      </c>
      <c r="C5" s="1" t="s">
        <v>14</v>
      </c>
      <c r="D5" s="1" t="s">
        <v>3</v>
      </c>
      <c r="E5" s="1" t="s">
        <v>15</v>
      </c>
      <c r="F5" s="3" t="s">
        <v>4</v>
      </c>
      <c r="G5" s="3" t="s">
        <v>5</v>
      </c>
    </row>
    <row r="6" spans="1:7">
      <c r="A6" s="7"/>
      <c r="B6" s="7"/>
      <c r="C6" s="5"/>
      <c r="D6" s="7"/>
      <c r="E6" s="4"/>
      <c r="F6" s="5" t="str">
        <f t="array" ref="F6">IFERROR(
     IF(ISBLANK($B6),"",
          INDEX(RemitTab[],MATCH(TEXT($B6,"000000000"),TEXT(RemitTab[Invoice '#],"000000000"),0),2)
       ),
       "NOT FOUND"
)</f>
        <v/>
      </c>
      <c r="G6" s="5" t="str">
        <f>IFERROR(
     IF(OR(ISBLANK($B6),$C6=""),"",
          IF(ROUND(F6,2)-ROUND(C6,2)=0,"Matching",
               ROUND(F6,2)-ROUND(C6,2)
          )
     ),
     IF($F6="NOT FOUND","NF TOTAL:   "&amp;ROUND(SUMIF([Remit. Amount],"NOT FOUND",[Applied Amt]),2),"")
)</f>
        <v/>
      </c>
    </row>
  </sheetData>
  <mergeCells count="6">
    <mergeCell ref="E1:E2"/>
    <mergeCell ref="F1:G2"/>
    <mergeCell ref="A4:G4"/>
    <mergeCell ref="A1:A2"/>
    <mergeCell ref="B1:C2"/>
    <mergeCell ref="D1:D2"/>
  </mergeCells>
  <conditionalFormatting sqref="G6">
    <cfRule type="expression" dxfId="4" priority="2">
      <formula>AND($G6&lt;&gt;"",$G6&lt;&gt;"Matching")</formula>
    </cfRule>
    <cfRule type="containsText" dxfId="3" priority="3" operator="containsText" text="Matching">
      <formula>NOT(ISERROR(SEARCH("Matching",G6)))</formula>
    </cfRule>
  </conditionalFormatting>
  <conditionalFormatting sqref="F6:G6">
    <cfRule type="expression" dxfId="2" priority="1">
      <formula>$F6="NOT FOUND"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Remittance Comparison</vt:lpstr>
      <vt:lpstr>Applied Comparison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2014-09-06T18:23:50Z</dcterms:created>
  <dcterms:modified xsi:type="dcterms:W3CDTF">2015-08-04T11:54:01Z</dcterms:modified>
</cp:coreProperties>
</file>